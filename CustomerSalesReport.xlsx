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VYA\OneDrive\Desktop\"/>
    </mc:Choice>
  </mc:AlternateContent>
  <xr:revisionPtr revIDLastSave="0" documentId="13_ncr:1_{2A238525-054F-4251-8565-70FE948CD4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6" r:id="rId1"/>
    <sheet name="Consumer" sheetId="1" r:id="rId2"/>
    <sheet name="Corporate" sheetId="2" r:id="rId3"/>
    <sheet name="Home Office" sheetId="3" r:id="rId4"/>
    <sheet name="Small Business" sheetId="4" r:id="rId5"/>
    <sheet name="Compiled_Top10" sheetId="5" r:id="rId6"/>
  </sheets>
  <calcPr calcId="191029"/>
  <pivotCaches>
    <pivotCache cacheId="26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6" l="1" a="1"/>
  <c r="F30" i="6" s="1"/>
  <c r="F26" i="6" a="1"/>
  <c r="F26" i="6" s="1"/>
  <c r="E30" i="6" a="1"/>
  <c r="E30" i="6" s="1"/>
  <c r="E26" i="6" a="1"/>
  <c r="E26" i="6" s="1"/>
  <c r="D30" i="6"/>
  <c r="D26" i="6"/>
  <c r="C30" i="6"/>
  <c r="C26" i="6"/>
  <c r="J2" i="5" a="1"/>
  <c r="J2" i="5" s="1"/>
  <c r="C21" i="6"/>
  <c r="D21" i="6" s="1"/>
  <c r="F21" i="6" s="1" a="1"/>
  <c r="F21" i="6" s="1"/>
  <c r="C22" i="6"/>
  <c r="D22" i="6" s="1"/>
  <c r="H12" i="4"/>
  <c r="G12" i="4"/>
  <c r="H12" i="3"/>
  <c r="G12" i="3"/>
  <c r="H12" i="2"/>
  <c r="G12" i="2"/>
  <c r="H12" i="1"/>
  <c r="G12" i="1"/>
  <c r="E22" i="6" l="1"/>
  <c r="E21" i="6"/>
  <c r="G22" i="6" l="1" a="1"/>
  <c r="G22" i="6" s="1"/>
  <c r="F22" i="6" a="1"/>
  <c r="F22" i="6" s="1"/>
  <c r="G21" i="6" a="1"/>
  <c r="G21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<sst xmlns="http://schemas.openxmlformats.org/spreadsheetml/2006/main" count="388" uniqueCount="111">
  <si>
    <t>CustomerID</t>
  </si>
  <si>
    <t>Store Number</t>
  </si>
  <si>
    <t>Customer Segment</t>
  </si>
  <si>
    <t>Responder</t>
  </si>
  <si>
    <t>First Name</t>
  </si>
  <si>
    <t>Last Name</t>
  </si>
  <si>
    <t>Total_Sales</t>
  </si>
  <si>
    <t>No_of_Orders</t>
  </si>
  <si>
    <t>Consumer</t>
  </si>
  <si>
    <t>No</t>
  </si>
  <si>
    <t>D</t>
  </si>
  <si>
    <t>Fisher</t>
  </si>
  <si>
    <t>Lynn</t>
  </si>
  <si>
    <t>Novasad</t>
  </si>
  <si>
    <t>Maryann</t>
  </si>
  <si>
    <t>Tovrea</t>
  </si>
  <si>
    <t>Rosemary</t>
  </si>
  <si>
    <t>Grubin</t>
  </si>
  <si>
    <t>Kristin</t>
  </si>
  <si>
    <t>Orcutt</t>
  </si>
  <si>
    <t>Kelly</t>
  </si>
  <si>
    <t>Carlson</t>
  </si>
  <si>
    <t>Michelle</t>
  </si>
  <si>
    <t>Tanger</t>
  </si>
  <si>
    <t>Minh</t>
  </si>
  <si>
    <t>Pham</t>
  </si>
  <si>
    <t>Paula</t>
  </si>
  <si>
    <t>Hazard</t>
  </si>
  <si>
    <t>Linda</t>
  </si>
  <si>
    <t>Dowell</t>
  </si>
  <si>
    <t>Corporate</t>
  </si>
  <si>
    <t>Diane</t>
  </si>
  <si>
    <t>King</t>
  </si>
  <si>
    <t>Claudia</t>
  </si>
  <si>
    <t>Espinoza</t>
  </si>
  <si>
    <t>Robin</t>
  </si>
  <si>
    <t>Martin</t>
  </si>
  <si>
    <t>Cathy</t>
  </si>
  <si>
    <t>Rhoades</t>
  </si>
  <si>
    <t>Chantelle</t>
  </si>
  <si>
    <t>Romero</t>
  </si>
  <si>
    <t>Mascarenas</t>
  </si>
  <si>
    <t>L</t>
  </si>
  <si>
    <t>Abeyta</t>
  </si>
  <si>
    <t>Samantha</t>
  </si>
  <si>
    <t>Elliott</t>
  </si>
  <si>
    <t>Tappan</t>
  </si>
  <si>
    <t>Yvette</t>
  </si>
  <si>
    <t>Kent</t>
  </si>
  <si>
    <t>Home Office</t>
  </si>
  <si>
    <t>June</t>
  </si>
  <si>
    <t>Ortega</t>
  </si>
  <si>
    <t>Penny</t>
  </si>
  <si>
    <t>Culpan</t>
  </si>
  <si>
    <t>Nancy</t>
  </si>
  <si>
    <t>Nicholas</t>
  </si>
  <si>
    <t>Elizabeth</t>
  </si>
  <si>
    <t>Gonzales</t>
  </si>
  <si>
    <t>Margo</t>
  </si>
  <si>
    <t>Traywick</t>
  </si>
  <si>
    <t>Joan</t>
  </si>
  <si>
    <t>Kindt</t>
  </si>
  <si>
    <t>Carol</t>
  </si>
  <si>
    <t>Hines</t>
  </si>
  <si>
    <t>Karen</t>
  </si>
  <si>
    <t>Montgomery</t>
  </si>
  <si>
    <t>Maria</t>
  </si>
  <si>
    <t>Olvera</t>
  </si>
  <si>
    <t>Teangela</t>
  </si>
  <si>
    <t>Carroll</t>
  </si>
  <si>
    <t>Small Business</t>
  </si>
  <si>
    <t>Marjorie</t>
  </si>
  <si>
    <t>Wilhelm</t>
  </si>
  <si>
    <t>Cynthia</t>
  </si>
  <si>
    <t>Herr</t>
  </si>
  <si>
    <t>Sheila</t>
  </si>
  <si>
    <t>Griesch</t>
  </si>
  <si>
    <t>Mary</t>
  </si>
  <si>
    <t>Livesay</t>
  </si>
  <si>
    <t>Lisa</t>
  </si>
  <si>
    <t>Fitch</t>
  </si>
  <si>
    <t>Jean</t>
  </si>
  <si>
    <t>Thompson</t>
  </si>
  <si>
    <t>Brandie</t>
  </si>
  <si>
    <t>Hopek</t>
  </si>
  <si>
    <t>Theresa</t>
  </si>
  <si>
    <t>Alexander</t>
  </si>
  <si>
    <t>Keli</t>
  </si>
  <si>
    <t>Scott</t>
  </si>
  <si>
    <t>Julie</t>
  </si>
  <si>
    <t>Mchenry</t>
  </si>
  <si>
    <t>Amount</t>
  </si>
  <si>
    <t>Total No. of Orders</t>
  </si>
  <si>
    <t>Segment</t>
  </si>
  <si>
    <t>Maximum Sales</t>
  </si>
  <si>
    <t>Store With the Least Sales</t>
  </si>
  <si>
    <t>Minimum Sales</t>
  </si>
  <si>
    <t>Store ID With the Most Sales</t>
  </si>
  <si>
    <t>Grand Total</t>
  </si>
  <si>
    <t>Store-wise Analysis</t>
  </si>
  <si>
    <t>(All)</t>
  </si>
  <si>
    <t>Select Segment Analysis</t>
  </si>
  <si>
    <t>No of Orders</t>
  </si>
  <si>
    <t>Total Sales</t>
  </si>
  <si>
    <t>Best Performing Store (Sales)</t>
  </si>
  <si>
    <t>Best Performing Store (Orders)</t>
  </si>
  <si>
    <t>Store</t>
  </si>
  <si>
    <t>Best Performing Segment (Sales)</t>
  </si>
  <si>
    <t>Best Performing Segment (Orders)</t>
  </si>
  <si>
    <t>Segment-wise Analysis (Drop-down)</t>
  </si>
  <si>
    <t>Store-wise Analysis (Drop-down)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</si>
</sst>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0" fillId="0" borderId="0" xfId="0" applyBorder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  <xf numFmtId="0" fontId="1" fillId="2" borderId="0" xfId="0" applyFont="1" applyFill="1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[CustomerSalesReport.xlsx]Dashboard!PivotTable11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per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No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Dashboard!$B$6:$B$16</c:f>
              <c:strCache>
                <c:ptCount val="10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</c:strCache>
            </c:strRef>
          </c:cat>
          <c:val>
            <c:numRef>
              <c:f>Dashboard!$C$6:$C$16</c:f>
              <c:numCache>
                <c:formatCode>0</c:formatCode>
                <c:ptCount val="10"/>
                <c:pt idx="0">
                  <c:v>42</c:v>
                </c:pt>
                <c:pt idx="1">
                  <c:v>44</c:v>
                </c:pt>
                <c:pt idx="2">
                  <c:v>11</c:v>
                </c:pt>
                <c:pt idx="3">
                  <c:v>32</c:v>
                </c:pt>
                <c:pt idx="4">
                  <c:v>22</c:v>
                </c:pt>
                <c:pt idx="5">
                  <c:v>18</c:v>
                </c:pt>
                <c:pt idx="6">
                  <c:v>44</c:v>
                </c:pt>
                <c:pt idx="7">
                  <c:v>21</c:v>
                </c:pt>
                <c:pt idx="8">
                  <c:v>15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D-4C58-9AC6-7B63E17C6765}"/>
            </c:ext>
          </c:extLst>
        </c:ser>
        <c:ser>
          <c:idx val="1"/>
          <c:order val="1"/>
          <c:tx>
            <c:strRef>
              <c:f>Dashboard!$D$5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Dashboard!$B$6:$B$16</c:f>
              <c:strCache>
                <c:ptCount val="10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</c:strCache>
            </c:strRef>
          </c:cat>
          <c:val>
            <c:numRef>
              <c:f>Dashboard!$D$6:$D$16</c:f>
              <c:numCache>
                <c:formatCode>General</c:formatCode>
                <c:ptCount val="10"/>
                <c:pt idx="0">
                  <c:v>123543.40000000002</c:v>
                </c:pt>
                <c:pt idx="1">
                  <c:v>93163.790000000008</c:v>
                </c:pt>
                <c:pt idx="2">
                  <c:v>23691.100000000002</c:v>
                </c:pt>
                <c:pt idx="3">
                  <c:v>92902.87</c:v>
                </c:pt>
                <c:pt idx="4">
                  <c:v>46059.979999999996</c:v>
                </c:pt>
                <c:pt idx="5">
                  <c:v>35585.94</c:v>
                </c:pt>
                <c:pt idx="6">
                  <c:v>109952.75</c:v>
                </c:pt>
                <c:pt idx="7">
                  <c:v>33908.180000000008</c:v>
                </c:pt>
                <c:pt idx="8">
                  <c:v>23966.55</c:v>
                </c:pt>
                <c:pt idx="9">
                  <c:v>63817.229999999996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1D-4C58-9AC6-7B63E17C6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945151"/>
        <c:axId val="113953311"/>
      </c:barChart>
      <c:catAx>
        <c:axId val="11394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53311"/>
        <c:crosses val="autoZero"/>
        <c:auto val="1"/>
        <c:lblAlgn val="ctr"/>
        <c:lblOffset val="100"/>
        <c:noMultiLvlLbl val="0"/>
      </c:catAx>
      <c:valAx>
        <c:axId val="11395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Number of Orders per Store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Consumer!$H$1</c:f>
              <c:strCache>
                <c:ptCount val="1"/>
                <c:pt idx="0">
                  <c:v>No_of_Orders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Consumer!$B$2:$B$11</c:f>
              <c:numCache>
                <c:formatCode>0</c:formatCode>
                <c:ptCount val="10"/>
                <c:pt idx="0">
                  <c:v>107</c:v>
                </c:pt>
                <c:pt idx="1">
                  <c:v>109</c:v>
                </c:pt>
                <c:pt idx="2">
                  <c:v>105</c:v>
                </c:pt>
                <c:pt idx="3">
                  <c:v>108</c:v>
                </c:pt>
                <c:pt idx="4">
                  <c:v>101</c:v>
                </c:pt>
                <c:pt idx="5">
                  <c:v>102</c:v>
                </c:pt>
                <c:pt idx="6">
                  <c:v>104</c:v>
                </c:pt>
                <c:pt idx="7">
                  <c:v>101</c:v>
                </c:pt>
                <c:pt idx="8">
                  <c:v>105</c:v>
                </c:pt>
                <c:pt idx="9">
                  <c:v>101</c:v>
                </c:pt>
              </c:numCache>
            </c:numRef>
          </c:cat>
          <c:val>
            <c:numRef>
              <c:f>Consumer!$H$2:$H$11</c:f>
              <c:numCache>
                <c:formatCode>0</c:formatCode>
                <c:ptCount val="10"/>
                <c:pt idx="0">
                  <c:v>21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F-47B3-8872-E8A2CE442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41743"/>
        <c:axId val="1599842223"/>
      </c:barChart>
      <c:catAx>
        <c:axId val="159984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2223"/>
        <c:crosses val="autoZero"/>
        <c:auto val="1"/>
        <c:lblAlgn val="ctr"/>
        <c:lblOffset val="100"/>
        <c:noMultiLvlLbl val="0"/>
      </c:catAx>
      <c:valAx>
        <c:axId val="15998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Sales per Store</a:t>
            </a:r>
            <a:r>
              <a:rPr lang="en-US" baseline="0"/>
              <a:t> (Top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Consumer!$G$1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Consumer!$B$2:$B$11</c:f>
              <c:numCache>
                <c:formatCode>0</c:formatCode>
                <c:ptCount val="10"/>
                <c:pt idx="0">
                  <c:v>107</c:v>
                </c:pt>
                <c:pt idx="1">
                  <c:v>109</c:v>
                </c:pt>
                <c:pt idx="2">
                  <c:v>105</c:v>
                </c:pt>
                <c:pt idx="3">
                  <c:v>108</c:v>
                </c:pt>
                <c:pt idx="4">
                  <c:v>101</c:v>
                </c:pt>
                <c:pt idx="5">
                  <c:v>102</c:v>
                </c:pt>
                <c:pt idx="6">
                  <c:v>104</c:v>
                </c:pt>
                <c:pt idx="7">
                  <c:v>101</c:v>
                </c:pt>
                <c:pt idx="8">
                  <c:v>105</c:v>
                </c:pt>
                <c:pt idx="9">
                  <c:v>101</c:v>
                </c:pt>
              </c:numCache>
            </c:numRef>
          </c:cat>
          <c:val>
            <c:numRef>
              <c:f>Consumer!$G$2:$G$11</c:f>
              <c:numCache>
                <c:formatCode>General</c:formatCode>
                <c:ptCount val="10"/>
                <c:pt idx="0">
                  <c:v>33908.180000000008</c:v>
                </c:pt>
                <c:pt idx="1">
                  <c:v>20268.539999999997</c:v>
                </c:pt>
                <c:pt idx="2">
                  <c:v>16700.95</c:v>
                </c:pt>
                <c:pt idx="3">
                  <c:v>12762.609999999999</c:v>
                </c:pt>
                <c:pt idx="4">
                  <c:v>11994.19</c:v>
                </c:pt>
                <c:pt idx="5">
                  <c:v>11765.400000000001</c:v>
                </c:pt>
                <c:pt idx="6">
                  <c:v>10228.900000000001</c:v>
                </c:pt>
                <c:pt idx="7">
                  <c:v>9794.5400000000009</c:v>
                </c:pt>
                <c:pt idx="8">
                  <c:v>9460.44</c:v>
                </c:pt>
                <c:pt idx="9">
                  <c:v>9425.2799999999988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2-494C-AA48-A00A6E61F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791823"/>
        <c:axId val="1599792303"/>
      </c:barChart>
      <c:catAx>
        <c:axId val="15997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2303"/>
        <c:crosses val="autoZero"/>
        <c:auto val="1"/>
        <c:lblAlgn val="ctr"/>
        <c:lblOffset val="100"/>
        <c:noMultiLvlLbl val="0"/>
      </c:catAx>
      <c:valAx>
        <c:axId val="15997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Number of Orders per Store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Corporate!$B$2:$B$11</c:f>
              <c:strCache>
                <c:ptCount val="10"/>
                <c:pt idx="0">
                  <c:v>100</c:v>
                </c:pt>
                <c:pt idx="1">
                  <c:v>106</c:v>
                </c:pt>
                <c:pt idx="2">
                  <c:v>103</c:v>
                </c:pt>
                <c:pt idx="3">
                  <c:v>104</c:v>
                </c:pt>
                <c:pt idx="4">
                  <c:v>100</c:v>
                </c:pt>
                <c:pt idx="5">
                  <c:v>109</c:v>
                </c:pt>
                <c:pt idx="6">
                  <c:v>101</c:v>
                </c:pt>
                <c:pt idx="7">
                  <c:v>104</c:v>
                </c:pt>
                <c:pt idx="8">
                  <c:v>101</c:v>
                </c:pt>
                <c:pt idx="9">
                  <c:v>101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Corporate!$B$2:$B$11</c:f>
              <c:numCache>
                <c:formatCode>0</c:formatCode>
                <c:ptCount val="10"/>
                <c:pt idx="0">
                  <c:v>100</c:v>
                </c:pt>
                <c:pt idx="1">
                  <c:v>106</c:v>
                </c:pt>
                <c:pt idx="2">
                  <c:v>103</c:v>
                </c:pt>
                <c:pt idx="3">
                  <c:v>104</c:v>
                </c:pt>
                <c:pt idx="4">
                  <c:v>100</c:v>
                </c:pt>
                <c:pt idx="5">
                  <c:v>109</c:v>
                </c:pt>
                <c:pt idx="6">
                  <c:v>101</c:v>
                </c:pt>
                <c:pt idx="7">
                  <c:v>104</c:v>
                </c:pt>
                <c:pt idx="8">
                  <c:v>101</c:v>
                </c:pt>
                <c:pt idx="9">
                  <c:v>101</c:v>
                </c:pt>
              </c:numCache>
            </c:numRef>
          </c:cat>
          <c:val>
            <c:numRef>
              <c:f>Corporate!$H$2:$H$11</c:f>
              <c:numCache>
                <c:formatCode>0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A-4E9B-BECC-2459024E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41743"/>
        <c:axId val="1599842223"/>
      </c:barChart>
      <c:catAx>
        <c:axId val="159984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2223"/>
        <c:crosses val="autoZero"/>
        <c:auto val="1"/>
        <c:lblAlgn val="ctr"/>
        <c:lblOffset val="100"/>
        <c:noMultiLvlLbl val="0"/>
      </c:catAx>
      <c:valAx>
        <c:axId val="15998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Sales per Store</a:t>
            </a:r>
            <a:r>
              <a:rPr lang="en-US" baseline="0"/>
              <a:t> (Top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Corporate!$B$2:$B$11</c:f>
              <c:strCache>
                <c:ptCount val="10"/>
                <c:pt idx="0">
                  <c:v>100</c:v>
                </c:pt>
                <c:pt idx="1">
                  <c:v>106</c:v>
                </c:pt>
                <c:pt idx="2">
                  <c:v>103</c:v>
                </c:pt>
                <c:pt idx="3">
                  <c:v>104</c:v>
                </c:pt>
                <c:pt idx="4">
                  <c:v>100</c:v>
                </c:pt>
                <c:pt idx="5">
                  <c:v>109</c:v>
                </c:pt>
                <c:pt idx="6">
                  <c:v>101</c:v>
                </c:pt>
                <c:pt idx="7">
                  <c:v>104</c:v>
                </c:pt>
                <c:pt idx="8">
                  <c:v>101</c:v>
                </c:pt>
                <c:pt idx="9">
                  <c:v>101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Corporate!$B$2:$B$11</c:f>
              <c:numCache>
                <c:formatCode>0</c:formatCode>
                <c:ptCount val="10"/>
                <c:pt idx="0">
                  <c:v>100</c:v>
                </c:pt>
                <c:pt idx="1">
                  <c:v>106</c:v>
                </c:pt>
                <c:pt idx="2">
                  <c:v>103</c:v>
                </c:pt>
                <c:pt idx="3">
                  <c:v>104</c:v>
                </c:pt>
                <c:pt idx="4">
                  <c:v>100</c:v>
                </c:pt>
                <c:pt idx="5">
                  <c:v>109</c:v>
                </c:pt>
                <c:pt idx="6">
                  <c:v>101</c:v>
                </c:pt>
                <c:pt idx="7">
                  <c:v>104</c:v>
                </c:pt>
                <c:pt idx="8">
                  <c:v>101</c:v>
                </c:pt>
                <c:pt idx="9">
                  <c:v>101</c:v>
                </c:pt>
              </c:numCache>
            </c:numRef>
          </c:cat>
          <c:val>
            <c:numRef>
              <c:f>Corporate!$G$2:$G$11</c:f>
              <c:numCache>
                <c:formatCode>General</c:formatCode>
                <c:ptCount val="10"/>
                <c:pt idx="0">
                  <c:v>61298.98000000001</c:v>
                </c:pt>
                <c:pt idx="1">
                  <c:v>31574.070000000003</c:v>
                </c:pt>
                <c:pt idx="2">
                  <c:v>26662.190000000002</c:v>
                </c:pt>
                <c:pt idx="3">
                  <c:v>20072.379999999997</c:v>
                </c:pt>
                <c:pt idx="4">
                  <c:v>19075.910000000003</c:v>
                </c:pt>
                <c:pt idx="5">
                  <c:v>16510.38</c:v>
                </c:pt>
                <c:pt idx="6">
                  <c:v>16352.48</c:v>
                </c:pt>
                <c:pt idx="7">
                  <c:v>15758.699999999999</c:v>
                </c:pt>
                <c:pt idx="8">
                  <c:v>14621.08</c:v>
                </c:pt>
                <c:pt idx="9">
                  <c:v>14620.789999999999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C-4399-99FF-A8D1EC71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791823"/>
        <c:axId val="1599792303"/>
      </c:barChart>
      <c:catAx>
        <c:axId val="15997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2303"/>
        <c:crosses val="autoZero"/>
        <c:auto val="1"/>
        <c:lblAlgn val="ctr"/>
        <c:lblOffset val="100"/>
        <c:noMultiLvlLbl val="0"/>
      </c:catAx>
      <c:valAx>
        <c:axId val="15997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Number of Orders per Store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 Office'!$B$2:$B$11</c:f>
              <c:strCache>
                <c:ptCount val="10"/>
                <c:pt idx="0">
                  <c:v>103</c:v>
                </c:pt>
                <c:pt idx="1">
                  <c:v>106</c:v>
                </c:pt>
                <c:pt idx="2">
                  <c:v>100</c:v>
                </c:pt>
                <c:pt idx="3">
                  <c:v>109</c:v>
                </c:pt>
                <c:pt idx="4">
                  <c:v>106</c:v>
                </c:pt>
                <c:pt idx="5">
                  <c:v>106</c:v>
                </c:pt>
                <c:pt idx="6">
                  <c:v>102</c:v>
                </c:pt>
                <c:pt idx="7">
                  <c:v>108</c:v>
                </c:pt>
                <c:pt idx="8">
                  <c:v>100</c:v>
                </c:pt>
                <c:pt idx="9">
                  <c:v>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'Home Office'!$B$2:$B$11</c:f>
              <c:numCache>
                <c:formatCode>0</c:formatCode>
                <c:ptCount val="10"/>
                <c:pt idx="0">
                  <c:v>103</c:v>
                </c:pt>
                <c:pt idx="1">
                  <c:v>106</c:v>
                </c:pt>
                <c:pt idx="2">
                  <c:v>100</c:v>
                </c:pt>
                <c:pt idx="3">
                  <c:v>109</c:v>
                </c:pt>
                <c:pt idx="4">
                  <c:v>106</c:v>
                </c:pt>
                <c:pt idx="5">
                  <c:v>106</c:v>
                </c:pt>
                <c:pt idx="6">
                  <c:v>102</c:v>
                </c:pt>
                <c:pt idx="7">
                  <c:v>108</c:v>
                </c:pt>
                <c:pt idx="8">
                  <c:v>100</c:v>
                </c:pt>
                <c:pt idx="9">
                  <c:v>100</c:v>
                </c:pt>
              </c:numCache>
            </c:numRef>
          </c:cat>
          <c:val>
            <c:numRef>
              <c:f>'Home Office'!$H$2:$H$11</c:f>
              <c:numCache>
                <c:formatCode>0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3-44FF-A707-44F89ADA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41743"/>
        <c:axId val="1599842223"/>
      </c:barChart>
      <c:catAx>
        <c:axId val="159984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2223"/>
        <c:crosses val="autoZero"/>
        <c:auto val="1"/>
        <c:lblAlgn val="ctr"/>
        <c:lblOffset val="100"/>
        <c:noMultiLvlLbl val="0"/>
      </c:catAx>
      <c:valAx>
        <c:axId val="15998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Sales per Store</a:t>
            </a:r>
            <a:r>
              <a:rPr lang="en-US" baseline="0"/>
              <a:t> (Top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'Home Office'!$B$2:$B$11</c:f>
              <c:strCache>
                <c:ptCount val="10"/>
                <c:pt idx="0">
                  <c:v>103</c:v>
                </c:pt>
                <c:pt idx="1">
                  <c:v>106</c:v>
                </c:pt>
                <c:pt idx="2">
                  <c:v>100</c:v>
                </c:pt>
                <c:pt idx="3">
                  <c:v>109</c:v>
                </c:pt>
                <c:pt idx="4">
                  <c:v>106</c:v>
                </c:pt>
                <c:pt idx="5">
                  <c:v>106</c:v>
                </c:pt>
                <c:pt idx="6">
                  <c:v>102</c:v>
                </c:pt>
                <c:pt idx="7">
                  <c:v>108</c:v>
                </c:pt>
                <c:pt idx="8">
                  <c:v>100</c:v>
                </c:pt>
                <c:pt idx="9">
                  <c:v>100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'Home Office'!$B$2:$B$11</c:f>
              <c:numCache>
                <c:formatCode>0</c:formatCode>
                <c:ptCount val="10"/>
                <c:pt idx="0">
                  <c:v>103</c:v>
                </c:pt>
                <c:pt idx="1">
                  <c:v>106</c:v>
                </c:pt>
                <c:pt idx="2">
                  <c:v>100</c:v>
                </c:pt>
                <c:pt idx="3">
                  <c:v>109</c:v>
                </c:pt>
                <c:pt idx="4">
                  <c:v>106</c:v>
                </c:pt>
                <c:pt idx="5">
                  <c:v>106</c:v>
                </c:pt>
                <c:pt idx="6">
                  <c:v>102</c:v>
                </c:pt>
                <c:pt idx="7">
                  <c:v>108</c:v>
                </c:pt>
                <c:pt idx="8">
                  <c:v>100</c:v>
                </c:pt>
                <c:pt idx="9">
                  <c:v>100</c:v>
                </c:pt>
              </c:numCache>
            </c:numRef>
          </c:cat>
          <c:val>
            <c:numRef>
              <c:f>'Home Office'!$G$2:$G$11</c:f>
              <c:numCache>
                <c:formatCode>General</c:formatCode>
                <c:ptCount val="10"/>
                <c:pt idx="0">
                  <c:v>36325.040000000001</c:v>
                </c:pt>
                <c:pt idx="1">
                  <c:v>18764.3</c:v>
                </c:pt>
                <c:pt idx="2">
                  <c:v>13242.47</c:v>
                </c:pt>
                <c:pt idx="3">
                  <c:v>13016.75</c:v>
                </c:pt>
                <c:pt idx="4">
                  <c:v>12102.790000000003</c:v>
                </c:pt>
                <c:pt idx="5">
                  <c:v>12071.02</c:v>
                </c:pt>
                <c:pt idx="6">
                  <c:v>11925.7</c:v>
                </c:pt>
                <c:pt idx="7">
                  <c:v>11203.94</c:v>
                </c:pt>
                <c:pt idx="8">
                  <c:v>10597.04</c:v>
                </c:pt>
                <c:pt idx="9">
                  <c:v>10540.630000000001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C-4DCB-BE3F-2FF4263B6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791823"/>
        <c:axId val="1599792303"/>
      </c:barChart>
      <c:catAx>
        <c:axId val="15997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2303"/>
        <c:crosses val="autoZero"/>
        <c:auto val="1"/>
        <c:lblAlgn val="ctr"/>
        <c:lblOffset val="100"/>
        <c:noMultiLvlLbl val="0"/>
      </c:catAx>
      <c:valAx>
        <c:axId val="15997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Number of Orders per Store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'Small Business'!$B$2:$B$11</c:f>
              <c:strCache>
                <c:ptCount val="10"/>
                <c:pt idx="0">
                  <c:v>101</c:v>
                </c:pt>
                <c:pt idx="1">
                  <c:v>106</c:v>
                </c:pt>
                <c:pt idx="2">
                  <c:v>109</c:v>
                </c:pt>
                <c:pt idx="3">
                  <c:v>103</c:v>
                </c:pt>
                <c:pt idx="4">
                  <c:v>106</c:v>
                </c:pt>
                <c:pt idx="5">
                  <c:v>106</c:v>
                </c:pt>
                <c:pt idx="6">
                  <c:v>103</c:v>
                </c:pt>
                <c:pt idx="7">
                  <c:v>105</c:v>
                </c:pt>
                <c:pt idx="8">
                  <c:v>103</c:v>
                </c:pt>
                <c:pt idx="9">
                  <c:v>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'Small Business'!$B$2:$B$11</c:f>
              <c:numCache>
                <c:formatCode>0</c:formatCode>
                <c:ptCount val="10"/>
                <c:pt idx="0">
                  <c:v>101</c:v>
                </c:pt>
                <c:pt idx="1">
                  <c:v>106</c:v>
                </c:pt>
                <c:pt idx="2">
                  <c:v>109</c:v>
                </c:pt>
                <c:pt idx="3">
                  <c:v>103</c:v>
                </c:pt>
                <c:pt idx="4">
                  <c:v>106</c:v>
                </c:pt>
                <c:pt idx="5">
                  <c:v>106</c:v>
                </c:pt>
                <c:pt idx="6">
                  <c:v>103</c:v>
                </c:pt>
                <c:pt idx="7">
                  <c:v>105</c:v>
                </c:pt>
                <c:pt idx="8">
                  <c:v>103</c:v>
                </c:pt>
                <c:pt idx="9">
                  <c:v>100</c:v>
                </c:pt>
              </c:numCache>
            </c:numRef>
          </c:cat>
          <c:val>
            <c:numRef>
              <c:f>'Small Business'!$H$2:$H$11</c:f>
              <c:numCache>
                <c:formatCode>0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5-4109-8E34-0D8037F6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41743"/>
        <c:axId val="1599842223"/>
      </c:barChart>
      <c:catAx>
        <c:axId val="159984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2223"/>
        <c:crosses val="autoZero"/>
        <c:auto val="1"/>
        <c:lblAlgn val="ctr"/>
        <c:lblOffset val="100"/>
        <c:noMultiLvlLbl val="0"/>
      </c:catAx>
      <c:valAx>
        <c:axId val="15998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Sales per Store</a:t>
            </a:r>
            <a:r>
              <a:rPr lang="en-US" baseline="0"/>
              <a:t> (Top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'Small Business'!$B$2:$B$11</c:f>
              <c:strCache>
                <c:ptCount val="10"/>
                <c:pt idx="0">
                  <c:v>101</c:v>
                </c:pt>
                <c:pt idx="1">
                  <c:v>106</c:v>
                </c:pt>
                <c:pt idx="2">
                  <c:v>109</c:v>
                </c:pt>
                <c:pt idx="3">
                  <c:v>103</c:v>
                </c:pt>
                <c:pt idx="4">
                  <c:v>106</c:v>
                </c:pt>
                <c:pt idx="5">
                  <c:v>106</c:v>
                </c:pt>
                <c:pt idx="6">
                  <c:v>103</c:v>
                </c:pt>
                <c:pt idx="7">
                  <c:v>105</c:v>
                </c:pt>
                <c:pt idx="8">
                  <c:v>103</c:v>
                </c:pt>
                <c:pt idx="9">
                  <c:v>100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'Small Business'!$B$2:$B$11</c:f>
              <c:numCache>
                <c:formatCode>0</c:formatCode>
                <c:ptCount val="10"/>
                <c:pt idx="0">
                  <c:v>101</c:v>
                </c:pt>
                <c:pt idx="1">
                  <c:v>106</c:v>
                </c:pt>
                <c:pt idx="2">
                  <c:v>109</c:v>
                </c:pt>
                <c:pt idx="3">
                  <c:v>103</c:v>
                </c:pt>
                <c:pt idx="4">
                  <c:v>106</c:v>
                </c:pt>
                <c:pt idx="5">
                  <c:v>106</c:v>
                </c:pt>
                <c:pt idx="6">
                  <c:v>103</c:v>
                </c:pt>
                <c:pt idx="7">
                  <c:v>105</c:v>
                </c:pt>
                <c:pt idx="8">
                  <c:v>103</c:v>
                </c:pt>
                <c:pt idx="9">
                  <c:v>100</c:v>
                </c:pt>
              </c:numCache>
            </c:numRef>
          </c:cat>
          <c:val>
            <c:numRef>
              <c:f>'Small Business'!$G$2:$G$11</c:f>
              <c:numCache>
                <c:formatCode>General</c:formatCode>
                <c:ptCount val="10"/>
                <c:pt idx="0">
                  <c:v>16355.430000000002</c:v>
                </c:pt>
                <c:pt idx="1">
                  <c:v>14896.12</c:v>
                </c:pt>
                <c:pt idx="2">
                  <c:v>14021.559999999998</c:v>
                </c:pt>
                <c:pt idx="3">
                  <c:v>10857.150000000001</c:v>
                </c:pt>
                <c:pt idx="4">
                  <c:v>10696.839999999998</c:v>
                </c:pt>
                <c:pt idx="5">
                  <c:v>9847.6099999999988</c:v>
                </c:pt>
                <c:pt idx="6">
                  <c:v>9787.6200000000008</c:v>
                </c:pt>
                <c:pt idx="7">
                  <c:v>9424.5500000000011</c:v>
                </c:pt>
                <c:pt idx="8">
                  <c:v>9270.869999999999</c:v>
                </c:pt>
                <c:pt idx="9">
                  <c:v>8788.369999999999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8-4BD5-96EA-B6AD6F1FD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9791823"/>
        <c:axId val="1599792303"/>
      </c:barChart>
      <c:catAx>
        <c:axId val="15997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2303"/>
        <c:crosses val="autoZero"/>
        <c:auto val="1"/>
        <c:lblAlgn val="ctr"/>
        <c:lblOffset val="100"/>
        <c:noMultiLvlLbl val="0"/>
      </c:catAx>
      <c:valAx>
        <c:axId val="15997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9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415925</xdr:colOff>
      <xdr:row>2</xdr:row>
      <xdr:rowOff>152400</xdr:rowOff>
    </xdr:from>
    <xdr:to>
      <xdr:col>7</xdr:col>
      <xdr:colOff>12700</xdr:colOff>
      <xdr:row>17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793900-B7D9-1778-AA4A-F8A2B2955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107949</xdr:colOff>
      <xdr:row>12</xdr:row>
      <xdr:rowOff>101600</xdr:rowOff>
    </xdr:from>
    <xdr:to>
      <xdr:col>5</xdr:col>
      <xdr:colOff>107950</xdr:colOff>
      <xdr:row>24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022E48-3315-2D62-A60F-FE56E95F1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250825</xdr:colOff>
      <xdr:row>12</xdr:row>
      <xdr:rowOff>76200</xdr:rowOff>
    </xdr:from>
    <xdr:to>
      <xdr:col>11</xdr:col>
      <xdr:colOff>374650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57493-3BA8-6FD0-7629-DE23F100B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12</xdr:row>
      <xdr:rowOff>76200</xdr:rowOff>
    </xdr:from>
    <xdr:to>
      <xdr:col>5</xdr:col>
      <xdr:colOff>107951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90110-A56D-4B34-BB49-B09C0BF9C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374650</xdr:colOff>
      <xdr:row>12</xdr:row>
      <xdr:rowOff>69850</xdr:rowOff>
    </xdr:from>
    <xdr:to>
      <xdr:col>11</xdr:col>
      <xdr:colOff>403225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07E96-1CC9-4658-844C-C2F698DE6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165101</xdr:colOff>
      <xdr:row>12</xdr:row>
      <xdr:rowOff>152400</xdr:rowOff>
    </xdr:from>
    <xdr:to>
      <xdr:col>4</xdr:col>
      <xdr:colOff>673101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F2CF2-3B20-46A2-A07E-512CBA958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12</xdr:row>
      <xdr:rowOff>139700</xdr:rowOff>
    </xdr:from>
    <xdr:to>
      <xdr:col>11</xdr:col>
      <xdr:colOff>330199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732DA6-6F69-4091-9F70-C1DA75091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12</xdr:row>
      <xdr:rowOff>69850</xdr:rowOff>
    </xdr:from>
    <xdr:to>
      <xdr:col>5</xdr:col>
      <xdr:colOff>25400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7DD24-63A6-42B5-B7B9-2484CF767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260350</xdr:colOff>
      <xdr:row>12</xdr:row>
      <xdr:rowOff>82550</xdr:rowOff>
    </xdr:from>
    <xdr:to>
      <xdr:col>11</xdr:col>
      <xdr:colOff>495299</xdr:colOff>
      <xdr:row>26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664B2F-A582-41A9-857B-D2513348F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YA" refreshedDate="46018.108602777778" createdVersion="8" refreshedVersion="8" minRefreshableVersion="3" recordCount="40" xr:uid="{303E404F-5837-4DCB-BC7A-C25BD9051E5E}">
  <cacheSource type="worksheet">
    <worksheetSource ref="A1:H41" sheet="Compiled_Top10"/>
  </cacheSource>
  <cacheFields count="8">
    <cacheField name="CustomerID" numFmtId="1">
      <sharedItems containsSemiMixedTypes="0" containsString="0" containsNumber="1" containsInteger="1" minValue="84" maxValue="3121"/>
    </cacheField>
    <cacheField name="Store Number" numFmtId="1">
      <sharedItems containsSemiMixedTypes="0" containsString="0" containsNumber="1" containsInteger="1" minValue="100" maxValue="109" count="10">
        <n v="107"/>
        <n v="109"/>
        <n v="105"/>
        <n v="108"/>
        <n v="101"/>
        <n v="102"/>
        <n v="104"/>
        <n v="100"/>
        <n v="106"/>
        <n v="103"/>
      </sharedItems>
    </cacheField>
    <cacheField name="Customer Segment" numFmtId="0">
      <sharedItems count="4">
        <s v="Consumer"/>
        <s v="Corporate"/>
        <s v="Home Office"/>
        <s v="Small Business"/>
      </sharedItems>
    </cacheField>
    <cacheField name="Responder" numFmtId="0">
      <sharedItems/>
    </cacheField>
    <cacheField name="First Name" numFmtId="0">
      <sharedItems/>
    </cacheField>
    <cacheField name="Last Name" numFmtId="0">
      <sharedItems/>
    </cacheField>
    <cacheField name="Total_Sales" numFmtId="0">
      <sharedItems containsSemiMixedTypes="0" containsString="0" containsNumber="1" minValue="8788.369999999999" maxValue="61298.98000000001"/>
    </cacheField>
    <cacheField name="No_of_Orders" numFmtId="1">
      <sharedItems containsSemiMixedTypes="0" containsString="0" containsNumber="1" containsInteger="1" minValue="2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882"/>
    <x v="0"/>
    <x v="0"/>
    <s v="No"/>
    <s v="D"/>
    <s v="Fisher"/>
    <n v="33908.180000000008"/>
    <n v="21"/>
  </r>
  <r>
    <n v="2645"/>
    <x v="1"/>
    <x v="0"/>
    <s v="No"/>
    <s v="Lynn"/>
    <s v="Novasad"/>
    <n v="20268.539999999997"/>
    <n v="10"/>
  </r>
  <r>
    <n v="84"/>
    <x v="2"/>
    <x v="0"/>
    <s v="No"/>
    <s v="Maryann"/>
    <s v="Tovrea"/>
    <n v="16700.95"/>
    <n v="7"/>
  </r>
  <r>
    <n v="2781"/>
    <x v="3"/>
    <x v="0"/>
    <s v="No"/>
    <s v="Rosemary"/>
    <s v="Grubin"/>
    <n v="12762.609999999999"/>
    <n v="7"/>
  </r>
  <r>
    <n v="2730"/>
    <x v="4"/>
    <x v="0"/>
    <s v="No"/>
    <s v="Kristin"/>
    <s v="Orcutt"/>
    <n v="11994.19"/>
    <n v="5"/>
  </r>
  <r>
    <n v="1463"/>
    <x v="5"/>
    <x v="0"/>
    <s v="No"/>
    <s v="Kelly"/>
    <s v="Carlson"/>
    <n v="11765.400000000001"/>
    <n v="7"/>
  </r>
  <r>
    <n v="2825"/>
    <x v="6"/>
    <x v="0"/>
    <s v="No"/>
    <s v="Michelle"/>
    <s v="Tanger"/>
    <n v="10228.900000000001"/>
    <n v="9"/>
  </r>
  <r>
    <n v="305"/>
    <x v="4"/>
    <x v="0"/>
    <s v="No"/>
    <s v="Minh"/>
    <s v="Pham"/>
    <n v="9794.5400000000009"/>
    <n v="6"/>
  </r>
  <r>
    <n v="471"/>
    <x v="2"/>
    <x v="0"/>
    <s v="No"/>
    <s v="Paula"/>
    <s v="Hazard"/>
    <n v="9460.44"/>
    <n v="6"/>
  </r>
  <r>
    <n v="2489"/>
    <x v="4"/>
    <x v="0"/>
    <s v="No"/>
    <s v="Linda"/>
    <s v="Dowell"/>
    <n v="9425.2799999999988"/>
    <n v="7"/>
  </r>
  <r>
    <n v="2867"/>
    <x v="7"/>
    <x v="1"/>
    <s v="No"/>
    <s v="Diane"/>
    <s v="King"/>
    <n v="61298.98000000001"/>
    <n v="10"/>
  </r>
  <r>
    <n v="667"/>
    <x v="8"/>
    <x v="1"/>
    <s v="No"/>
    <s v="Claudia"/>
    <s v="Espinoza"/>
    <n v="31574.070000000003"/>
    <n v="7"/>
  </r>
  <r>
    <n v="3074"/>
    <x v="9"/>
    <x v="1"/>
    <s v="No"/>
    <s v="Robin"/>
    <s v="Martin"/>
    <n v="26662.190000000002"/>
    <n v="5"/>
  </r>
  <r>
    <n v="2108"/>
    <x v="6"/>
    <x v="1"/>
    <s v="No"/>
    <s v="Cathy"/>
    <s v="Rhoades"/>
    <n v="20072.379999999997"/>
    <n v="7"/>
  </r>
  <r>
    <n v="2859"/>
    <x v="7"/>
    <x v="1"/>
    <s v="No"/>
    <s v="Chantelle"/>
    <s v="Romero"/>
    <n v="19075.910000000003"/>
    <n v="7"/>
  </r>
  <r>
    <n v="698"/>
    <x v="1"/>
    <x v="1"/>
    <s v="No"/>
    <s v="Linda"/>
    <s v="Mascarenas"/>
    <n v="16510.38"/>
    <n v="11"/>
  </r>
  <r>
    <n v="2785"/>
    <x v="4"/>
    <x v="1"/>
    <s v="No"/>
    <s v="L"/>
    <s v="Abeyta"/>
    <n v="16352.48"/>
    <n v="6"/>
  </r>
  <r>
    <n v="983"/>
    <x v="6"/>
    <x v="1"/>
    <s v="No"/>
    <s v="Samantha"/>
    <s v="Elliott"/>
    <n v="15758.699999999999"/>
    <n v="6"/>
  </r>
  <r>
    <n v="1212"/>
    <x v="4"/>
    <x v="1"/>
    <s v="No"/>
    <s v="Kelly"/>
    <s v="Tappan"/>
    <n v="14621.08"/>
    <n v="4"/>
  </r>
  <r>
    <n v="1687"/>
    <x v="4"/>
    <x v="1"/>
    <s v="No"/>
    <s v="Yvette"/>
    <s v="Kent"/>
    <n v="14620.789999999999"/>
    <n v="6"/>
  </r>
  <r>
    <n v="2670"/>
    <x v="9"/>
    <x v="2"/>
    <s v="No"/>
    <s v="June"/>
    <s v="Ortega"/>
    <n v="36325.040000000001"/>
    <n v="10"/>
  </r>
  <r>
    <n v="883"/>
    <x v="8"/>
    <x v="2"/>
    <s v="No"/>
    <s v="Penny"/>
    <s v="Culpan"/>
    <n v="18764.3"/>
    <n v="5"/>
  </r>
  <r>
    <n v="3121"/>
    <x v="7"/>
    <x v="2"/>
    <s v="No"/>
    <s v="Nancy"/>
    <s v="Nicholas"/>
    <n v="13242.47"/>
    <n v="6"/>
  </r>
  <r>
    <n v="355"/>
    <x v="1"/>
    <x v="2"/>
    <s v="No"/>
    <s v="Elizabeth"/>
    <s v="Gonzales"/>
    <n v="13016.75"/>
    <n v="2"/>
  </r>
  <r>
    <n v="1246"/>
    <x v="8"/>
    <x v="2"/>
    <s v="No"/>
    <s v="Margo"/>
    <s v="Traywick"/>
    <n v="12102.790000000003"/>
    <n v="5"/>
  </r>
  <r>
    <n v="2342"/>
    <x v="8"/>
    <x v="2"/>
    <s v="No"/>
    <s v="Joan"/>
    <s v="Kindt"/>
    <n v="12071.02"/>
    <n v="8"/>
  </r>
  <r>
    <n v="2020"/>
    <x v="5"/>
    <x v="2"/>
    <s v="No"/>
    <s v="Carol"/>
    <s v="Hines"/>
    <n v="11925.7"/>
    <n v="4"/>
  </r>
  <r>
    <n v="2141"/>
    <x v="3"/>
    <x v="2"/>
    <s v="No"/>
    <s v="Karen"/>
    <s v="Montgomery"/>
    <n v="11203.94"/>
    <n v="8"/>
  </r>
  <r>
    <n v="1782"/>
    <x v="7"/>
    <x v="2"/>
    <s v="No"/>
    <s v="Maria"/>
    <s v="Olvera"/>
    <n v="10597.04"/>
    <n v="6"/>
  </r>
  <r>
    <n v="1793"/>
    <x v="7"/>
    <x v="2"/>
    <s v="No"/>
    <s v="Teangela"/>
    <s v="Carroll"/>
    <n v="10540.630000000001"/>
    <n v="6"/>
  </r>
  <r>
    <n v="693"/>
    <x v="4"/>
    <x v="3"/>
    <s v="No"/>
    <s v="Marjorie"/>
    <s v="Wilhelm"/>
    <n v="16355.430000000002"/>
    <n v="10"/>
  </r>
  <r>
    <n v="2977"/>
    <x v="8"/>
    <x v="3"/>
    <s v="No"/>
    <s v="Cynthia"/>
    <s v="Herr"/>
    <n v="14896.12"/>
    <n v="7"/>
  </r>
  <r>
    <n v="181"/>
    <x v="1"/>
    <x v="3"/>
    <s v="No"/>
    <s v="Sheila"/>
    <s v="Griesch"/>
    <n v="14021.559999999998"/>
    <n v="8"/>
  </r>
  <r>
    <n v="540"/>
    <x v="9"/>
    <x v="3"/>
    <s v="No"/>
    <s v="Mary"/>
    <s v="Livesay"/>
    <n v="10857.150000000001"/>
    <n v="7"/>
  </r>
  <r>
    <n v="688"/>
    <x v="8"/>
    <x v="3"/>
    <s v="No"/>
    <s v="Lisa"/>
    <s v="Fitch"/>
    <n v="10696.839999999998"/>
    <n v="7"/>
  </r>
  <r>
    <n v="1708"/>
    <x v="8"/>
    <x v="3"/>
    <s v="No"/>
    <s v="Jean"/>
    <s v="Thompson"/>
    <n v="9847.6099999999988"/>
    <n v="5"/>
  </r>
  <r>
    <n v="674"/>
    <x v="9"/>
    <x v="3"/>
    <s v="No"/>
    <s v="Brandie"/>
    <s v="Hopek"/>
    <n v="9787.6200000000008"/>
    <n v="7"/>
  </r>
  <r>
    <n v="1503"/>
    <x v="2"/>
    <x v="3"/>
    <s v="No"/>
    <s v="Theresa"/>
    <s v="Alexander"/>
    <n v="9424.5500000000011"/>
    <n v="5"/>
  </r>
  <r>
    <n v="1027"/>
    <x v="9"/>
    <x v="3"/>
    <s v="No"/>
    <s v="Keli"/>
    <s v="Scott"/>
    <n v="9270.869999999999"/>
    <n v="3"/>
  </r>
  <r>
    <n v="1730"/>
    <x v="7"/>
    <x v="3"/>
    <s v="No"/>
    <s v="Julie"/>
    <s v="Mchenry"/>
    <n v="8788.369999999999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97E7F-8915-4689-87BA-0333653033B6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Store Number">
  <location ref="B5:D16" firstHeaderRow="0" firstDataRow="1" firstDataCol="1" rowPageCount="1" colPageCount="1"/>
  <pivotFields count="8">
    <pivotField numFmtId="1" showAll="0"/>
    <pivotField axis="axisRow" numFmtId="1" showAll="0">
      <items count="11">
        <item x="7"/>
        <item x="4"/>
        <item x="5"/>
        <item x="9"/>
        <item x="6"/>
        <item x="2"/>
        <item x="8"/>
        <item x="0"/>
        <item x="3"/>
        <item x="1"/>
        <item t="default"/>
      </items>
    </pivotField>
    <pivotField axis="axisPage" multipleItemSelectionAllowe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numFmtI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No of Orders" fld="7" baseField="0" baseItem="0" numFmtId="1"/>
    <dataField name="Total Sales" fld="6" baseField="0" baseItem="0"/>
  </dataFields>
  <chartFormats count="1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9323-048C-4974-9150-30C5EB92CCC3}">
  <dimension ref="B2:G30"/>
  <sheetViews>
    <sheetView tabSelected="1" workbookViewId="0">
      <selection activeCell="I16" sqref="I16"/>
    </sheetView>
  </sheetViews>
  <sheetFormatPr defaultRowHeight="14.5" x14ac:dyDescent="0.35"/>
  <cols>
    <col min="1" max="1" width="7.453125" customWidth="1"/>
    <col min="2" max="2" width="31.36328125" bestFit="1" customWidth="1"/>
    <col min="3" max="3" width="11.54296875" bestFit="1" customWidth="1"/>
    <col min="4" max="4" width="16.81640625" bestFit="1" customWidth="1"/>
    <col min="5" max="5" width="28" bestFit="1" customWidth="1"/>
    <col min="6" max="6" width="29.6328125" bestFit="1" customWidth="1"/>
    <col min="7" max="7" width="22.453125" bestFit="1" customWidth="1"/>
    <col min="8" max="8" width="8.81640625" bestFit="1" customWidth="1"/>
    <col min="9" max="9" width="9.81640625" bestFit="1" customWidth="1"/>
    <col min="10" max="12" width="8.81640625" bestFit="1" customWidth="1"/>
    <col min="13" max="13" width="10.7265625" bestFit="1" customWidth="1"/>
  </cols>
  <sheetData>
    <row r="2" spans="2:4" x14ac:dyDescent="0.35">
      <c r="B2" s="6" t="s">
        <v>99</v>
      </c>
    </row>
    <row r="3" spans="2:4" x14ac:dyDescent="0.35">
      <c r="B3" s="3" t="s">
        <v>2</v>
      </c>
      <c r="C3" t="s">
        <v>100</v>
      </c>
    </row>
    <row r="5" spans="2:4" x14ac:dyDescent="0.35">
      <c r="B5" s="3" t="s">
        <v>1</v>
      </c>
      <c r="C5" t="s">
        <v>102</v>
      </c>
      <c r="D5" t="s">
        <v>103</v>
      </c>
    </row>
    <row r="6" spans="2:4" x14ac:dyDescent="0.35">
      <c r="B6" s="4">
        <v>100</v>
      </c>
      <c r="C6" s="1">
        <v>42</v>
      </c>
      <c r="D6" s="5">
        <v>123543.40000000002</v>
      </c>
    </row>
    <row r="7" spans="2:4" x14ac:dyDescent="0.35">
      <c r="B7" s="4">
        <v>101</v>
      </c>
      <c r="C7" s="1">
        <v>44</v>
      </c>
      <c r="D7" s="5">
        <v>93163.790000000008</v>
      </c>
    </row>
    <row r="8" spans="2:4" x14ac:dyDescent="0.35">
      <c r="B8" s="4">
        <v>102</v>
      </c>
      <c r="C8" s="1">
        <v>11</v>
      </c>
      <c r="D8" s="5">
        <v>23691.100000000002</v>
      </c>
    </row>
    <row r="9" spans="2:4" x14ac:dyDescent="0.35">
      <c r="B9" s="4">
        <v>103</v>
      </c>
      <c r="C9" s="1">
        <v>32</v>
      </c>
      <c r="D9" s="5">
        <v>92902.87</v>
      </c>
    </row>
    <row r="10" spans="2:4" x14ac:dyDescent="0.35">
      <c r="B10" s="4">
        <v>104</v>
      </c>
      <c r="C10" s="1">
        <v>22</v>
      </c>
      <c r="D10" s="5">
        <v>46059.979999999996</v>
      </c>
    </row>
    <row r="11" spans="2:4" x14ac:dyDescent="0.35">
      <c r="B11" s="4">
        <v>105</v>
      </c>
      <c r="C11" s="1">
        <v>18</v>
      </c>
      <c r="D11" s="5">
        <v>35585.94</v>
      </c>
    </row>
    <row r="12" spans="2:4" x14ac:dyDescent="0.35">
      <c r="B12" s="4">
        <v>106</v>
      </c>
      <c r="C12" s="1">
        <v>44</v>
      </c>
      <c r="D12" s="5">
        <v>109952.75</v>
      </c>
    </row>
    <row r="13" spans="2:4" x14ac:dyDescent="0.35">
      <c r="B13" s="4">
        <v>107</v>
      </c>
      <c r="C13" s="1">
        <v>21</v>
      </c>
      <c r="D13" s="5">
        <v>33908.180000000008</v>
      </c>
    </row>
    <row r="14" spans="2:4" x14ac:dyDescent="0.35">
      <c r="B14" s="4">
        <v>108</v>
      </c>
      <c r="C14" s="1">
        <v>15</v>
      </c>
      <c r="D14" s="5">
        <v>23966.55</v>
      </c>
    </row>
    <row r="15" spans="2:4" x14ac:dyDescent="0.35">
      <c r="B15" s="4">
        <v>109</v>
      </c>
      <c r="C15" s="1">
        <v>31</v>
      </c>
      <c r="D15" s="5">
        <v>63817.229999999996</v>
      </c>
    </row>
    <row r="16" spans="2:4" x14ac:dyDescent="0.35">
      <c r="B16" s="4" t="s">
        <v>98</v>
      </c>
      <c r="C16" s="1">
        <v>280</v>
      </c>
      <c r="D16" s="5">
        <v>646591.79000000015</v>
      </c>
    </row>
    <row r="17" spans="2:7" x14ac:dyDescent="0.35">
      <c r="B17" s="4"/>
      <c r="C17" s="1"/>
      <c r="D17" s="5"/>
    </row>
    <row r="19" spans="2:7" ht="15" thickBot="1" x14ac:dyDescent="0.4">
      <c r="B19" s="6" t="s">
        <v>101</v>
      </c>
    </row>
    <row r="20" spans="2:7" x14ac:dyDescent="0.35">
      <c r="B20" s="7"/>
      <c r="C20" s="11" t="s">
        <v>91</v>
      </c>
      <c r="D20" s="11" t="s">
        <v>93</v>
      </c>
      <c r="E20" s="11" t="s">
        <v>92</v>
      </c>
      <c r="F20" s="11" t="s">
        <v>97</v>
      </c>
      <c r="G20" s="12" t="s">
        <v>95</v>
      </c>
    </row>
    <row r="21" spans="2:7" x14ac:dyDescent="0.35">
      <c r="B21" s="13" t="s">
        <v>94</v>
      </c>
      <c r="C21" s="2">
        <f>MAX(Consumer!G12,Corporate!G12,'Home Office'!G12,'Small Business'!G12)</f>
        <v>236546.96000000005</v>
      </c>
      <c r="D21" s="2" t="str">
        <f>IF($C21=Consumer!$G$12,Consumer!$C$2,IF($C21=Corporate!$G$12,Corporate!$C$2,IF($C21='Home Office'!$G$12,'Home Office'!$C$2,IF($C21='Small Business'!$G$12,'Small Business'!$C$2,"NIL"))))</f>
        <v>Corporate</v>
      </c>
      <c r="E21" s="2">
        <f>IF($C21=Consumer!$G$12,Consumer!$H$12,IF($C21=Corporate!$G$12,Corporate!$H$12,IF($C21='Home Office'!$G$12,'Home Office'!$H$12,IF($C21='Small Business'!$G$12,'Small Business'!$H$12,"NIL"))))</f>
        <v>69</v>
      </c>
      <c r="F21" s="2" cm="1">
        <f t="array" ref="F21">INDEX(Compiled_Top10!B2:B41, MATCH(1, (Compiled_Top10!C2:C41=D21)*(Compiled_Top10!G2:G41=_xlfn.MAXIFS(Compiled_Top10!G2:G41, Compiled_Top10!C2:C41, D21)), 0))</f>
        <v>100</v>
      </c>
      <c r="G21" s="8" cm="1">
        <f t="array" ref="G21">INDEX(Compiled_Top10!B2:B41, MATCH(1, (Compiled_Top10!C2:C41=D21)*(Compiled_Top10!G2:G41=_xlfn.MINIFS(Compiled_Top10!G2:G41, Compiled_Top10!C2:C41, D21)), 0))</f>
        <v>101</v>
      </c>
    </row>
    <row r="22" spans="2:7" ht="15" thickBot="1" x14ac:dyDescent="0.4">
      <c r="B22" s="14" t="s">
        <v>96</v>
      </c>
      <c r="C22" s="9">
        <f>MIN(Consumer!G12,Corporate!G12,'Home Office'!G12,'Small Business'!G12)</f>
        <v>113946.12</v>
      </c>
      <c r="D22" s="9" t="str">
        <f>IF($C22=Consumer!G$12,Consumer!$C$2,IF($C22=Corporate!G$12,Corporate!$C$2,IF($C22='Home Office'!G$12,'Home Office'!$C$2,IF($C22='Small Business'!G$12,'Small Business'!$C$2,"NIL"))))</f>
        <v>Small Business</v>
      </c>
      <c r="E22" s="9">
        <f>IF($C22=Consumer!$G$12,Consumer!$H$12,IF($C22=Corporate!$G$12,Corporate!$H$12,IF($C22='Home Office'!$G$12,'Home Office'!$H$12,IF($C22='Small Business'!$G$12,'Small Business'!$H$12,"NIL"))))</f>
        <v>66</v>
      </c>
      <c r="F22" s="9" cm="1">
        <f t="array" ref="F22">INDEX(Compiled_Top10!B2:B41, MATCH(1, (Compiled_Top10!C2:C41=D22)*(Compiled_Top10!G2:G41=_xlfn.MAXIFS(Compiled_Top10!G2:G41, Compiled_Top10!C2:C41, D22)), 0))</f>
        <v>101</v>
      </c>
      <c r="G22" s="10" cm="1">
        <f t="array" ref="G22">INDEX(Compiled_Top10!B2:B41, MATCH(1, (Compiled_Top10!C2:C41=D22)*(Compiled_Top10!G2:G41=_xlfn.MINIFS(Compiled_Top10!G2:G41, Compiled_Top10!C2:C41, D22)), 0))</f>
        <v>100</v>
      </c>
    </row>
    <row r="24" spans="2:7" ht="15" thickBot="1" x14ac:dyDescent="0.4">
      <c r="B24" s="6" t="s">
        <v>109</v>
      </c>
    </row>
    <row r="25" spans="2:7" x14ac:dyDescent="0.35">
      <c r="B25" s="15" t="s">
        <v>93</v>
      </c>
      <c r="C25" s="11" t="s">
        <v>103</v>
      </c>
      <c r="D25" s="11" t="s">
        <v>92</v>
      </c>
      <c r="E25" s="11" t="s">
        <v>104</v>
      </c>
      <c r="F25" s="12" t="s">
        <v>105</v>
      </c>
    </row>
    <row r="26" spans="2:7" ht="15" thickBot="1" x14ac:dyDescent="0.4">
      <c r="B26" s="16" t="s">
        <v>8</v>
      </c>
      <c r="C26" s="9">
        <f>SUMIFS(Compiled_Top10!G2:G41,Compiled_Top10!C2:C41,Dashboard!B26)</f>
        <v>146309.03</v>
      </c>
      <c r="D26" s="9">
        <f>SUMIFS(Compiled_Top10!H2:H41,Compiled_Top10!C2:C41,Dashboard!B26)</f>
        <v>85</v>
      </c>
      <c r="E26" s="9" cm="1">
        <f t="array" ref="E26">INDEX(Compiled_Top10!B2:B41, MATCH(1, (Compiled_Top10!C2:C41=B26)*(Compiled_Top10!G2:G41=_xlfn.MAXIFS(Compiled_Top10!G2:G41, Compiled_Top10!C2:C41, B26)), 0))</f>
        <v>107</v>
      </c>
      <c r="F26" s="10" cm="1">
        <f t="array" ref="F26">INDEX(Compiled_Top10!B2:B41, MATCH(1, (Compiled_Top10!C2:C41=B26)*(Compiled_Top10!H2:H41=_xlfn.MAXIFS(Compiled_Top10!H2:H41, Compiled_Top10!C2:C41, B26)), 0))</f>
        <v>107</v>
      </c>
    </row>
    <row r="28" spans="2:7" ht="15" thickBot="1" x14ac:dyDescent="0.4">
      <c r="B28" s="6" t="s">
        <v>110</v>
      </c>
    </row>
    <row r="29" spans="2:7" x14ac:dyDescent="0.35">
      <c r="B29" s="15" t="s">
        <v>106</v>
      </c>
      <c r="C29" s="11" t="s">
        <v>103</v>
      </c>
      <c r="D29" s="11" t="s">
        <v>92</v>
      </c>
      <c r="E29" s="11" t="s">
        <v>107</v>
      </c>
      <c r="F29" s="12" t="s">
        <v>108</v>
      </c>
    </row>
    <row r="30" spans="2:7" ht="15" thickBot="1" x14ac:dyDescent="0.4">
      <c r="B30" s="17">
        <v>100</v>
      </c>
      <c r="C30" s="9">
        <f>SUMIFS(Compiled_Top10!G2:G41,Compiled_Top10!B2:B41,Dashboard!B30)</f>
        <v>123543.40000000002</v>
      </c>
      <c r="D30" s="9">
        <f>SUMIFS(Compiled_Top10!H2:H41,Compiled_Top10!B2:B41,Dashboard!B30)</f>
        <v>42</v>
      </c>
      <c r="E30" s="9" t="str" cm="1">
        <f t="array" ref="E30">INDEX(Compiled_Top10!C2:C41, MATCH(1, (Compiled_Top10!B2:B41=B30)*(Compiled_Top10!G2:G41=_xlfn.MAXIFS(Compiled_Top10!G2:G41, Compiled_Top10!B2:B41, B30)), 0))</f>
        <v>Corporate</v>
      </c>
      <c r="F30" s="10" t="str" cm="1">
        <f t="array" ref="F30">INDEX(Compiled_Top10!C2:C41, MATCH(1, (Compiled_Top10!B2:B41=B30)*(Compiled_Top10!H2:H41=_xlfn.MAXIFS(Compiled_Top10!H2:H41, Compiled_Top10!B2:B41, B30)), 0))</f>
        <v>Corporate</v>
      </c>
    </row>
  </sheetData>
  <dataValidations count="1">
    <dataValidation type="list" allowBlank="1" showInputMessage="1" showErrorMessage="1" sqref="B30" xr:uid="{FAF9A3CA-411F-4F1A-97D7-FB2594F06B53}">
      <formula1>$B$6:$B$15</formula1>
    </dataValidation>
  </dataValidations>
  <pageMargins left="0.7" right="0.7" top="0.75" bottom="0.75" header="0.3" footer="0.3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67AE-F8EF-458E-B30D-EA710A345978}">
          <x14:formula1>
            <xm:f>Compiled_Top10!$J$2:$J$5</xm:f>
          </x14:formula1>
          <xm:sqref>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100" workbookViewId="0">
      <selection activeCell="H12" sqref="H12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6328125" bestFit="1" customWidth="1"/>
    <col min="4" max="4" width="9.81640625" bestFit="1" customWidth="1"/>
    <col min="5" max="5" width="9.7265625" bestFit="1" customWidth="1"/>
    <col min="6" max="6" width="9.453125" bestFit="1" customWidth="1"/>
    <col min="7" max="7" width="10.1796875" bestFit="1" customWidth="1"/>
    <col min="8" max="8" width="12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2882</v>
      </c>
      <c r="B2" s="1">
        <v>107</v>
      </c>
      <c r="C2" t="s">
        <v>8</v>
      </c>
      <c r="D2" t="s">
        <v>9</v>
      </c>
      <c r="E2" t="s">
        <v>10</v>
      </c>
      <c r="F2" t="s">
        <v>11</v>
      </c>
      <c r="G2">
        <v>33908.180000000008</v>
      </c>
      <c r="H2" s="1">
        <v>21</v>
      </c>
    </row>
    <row r="3" spans="1:8" x14ac:dyDescent="0.35">
      <c r="A3" s="1">
        <v>2645</v>
      </c>
      <c r="B3" s="1">
        <v>109</v>
      </c>
      <c r="C3" t="s">
        <v>8</v>
      </c>
      <c r="D3" t="s">
        <v>9</v>
      </c>
      <c r="E3" t="s">
        <v>12</v>
      </c>
      <c r="F3" t="s">
        <v>13</v>
      </c>
      <c r="G3">
        <v>20268.539999999997</v>
      </c>
      <c r="H3" s="1">
        <v>10</v>
      </c>
    </row>
    <row r="4" spans="1:8" x14ac:dyDescent="0.35">
      <c r="A4" s="1">
        <v>84</v>
      </c>
      <c r="B4" s="1">
        <v>105</v>
      </c>
      <c r="C4" t="s">
        <v>8</v>
      </c>
      <c r="D4" t="s">
        <v>9</v>
      </c>
      <c r="E4" t="s">
        <v>14</v>
      </c>
      <c r="F4" t="s">
        <v>15</v>
      </c>
      <c r="G4">
        <v>16700.95</v>
      </c>
      <c r="H4" s="1">
        <v>7</v>
      </c>
    </row>
    <row r="5" spans="1:8" x14ac:dyDescent="0.35">
      <c r="A5" s="1">
        <v>2781</v>
      </c>
      <c r="B5" s="1">
        <v>108</v>
      </c>
      <c r="C5" t="s">
        <v>8</v>
      </c>
      <c r="D5" t="s">
        <v>9</v>
      </c>
      <c r="E5" t="s">
        <v>16</v>
      </c>
      <c r="F5" t="s">
        <v>17</v>
      </c>
      <c r="G5">
        <v>12762.609999999999</v>
      </c>
      <c r="H5" s="1">
        <v>7</v>
      </c>
    </row>
    <row r="6" spans="1:8" x14ac:dyDescent="0.35">
      <c r="A6" s="1">
        <v>2730</v>
      </c>
      <c r="B6" s="1">
        <v>101</v>
      </c>
      <c r="C6" t="s">
        <v>8</v>
      </c>
      <c r="D6" t="s">
        <v>9</v>
      </c>
      <c r="E6" t="s">
        <v>18</v>
      </c>
      <c r="F6" t="s">
        <v>19</v>
      </c>
      <c r="G6">
        <v>11994.19</v>
      </c>
      <c r="H6" s="1">
        <v>5</v>
      </c>
    </row>
    <row r="7" spans="1:8" x14ac:dyDescent="0.35">
      <c r="A7" s="1">
        <v>1463</v>
      </c>
      <c r="B7" s="1">
        <v>102</v>
      </c>
      <c r="C7" t="s">
        <v>8</v>
      </c>
      <c r="D7" t="s">
        <v>9</v>
      </c>
      <c r="E7" t="s">
        <v>20</v>
      </c>
      <c r="F7" t="s">
        <v>21</v>
      </c>
      <c r="G7">
        <v>11765.400000000001</v>
      </c>
      <c r="H7" s="1">
        <v>7</v>
      </c>
    </row>
    <row r="8" spans="1:8" x14ac:dyDescent="0.35">
      <c r="A8" s="1">
        <v>2825</v>
      </c>
      <c r="B8" s="1">
        <v>104</v>
      </c>
      <c r="C8" t="s">
        <v>8</v>
      </c>
      <c r="D8" t="s">
        <v>9</v>
      </c>
      <c r="E8" t="s">
        <v>22</v>
      </c>
      <c r="F8" t="s">
        <v>23</v>
      </c>
      <c r="G8">
        <v>10228.900000000001</v>
      </c>
      <c r="H8" s="1">
        <v>9</v>
      </c>
    </row>
    <row r="9" spans="1:8" x14ac:dyDescent="0.35">
      <c r="A9" s="1">
        <v>305</v>
      </c>
      <c r="B9" s="1">
        <v>101</v>
      </c>
      <c r="C9" t="s">
        <v>8</v>
      </c>
      <c r="D9" t="s">
        <v>9</v>
      </c>
      <c r="E9" t="s">
        <v>24</v>
      </c>
      <c r="F9" t="s">
        <v>25</v>
      </c>
      <c r="G9">
        <v>9794.5400000000009</v>
      </c>
      <c r="H9" s="1">
        <v>6</v>
      </c>
    </row>
    <row r="10" spans="1:8" x14ac:dyDescent="0.35">
      <c r="A10" s="1">
        <v>471</v>
      </c>
      <c r="B10" s="1">
        <v>105</v>
      </c>
      <c r="C10" t="s">
        <v>8</v>
      </c>
      <c r="D10" t="s">
        <v>9</v>
      </c>
      <c r="E10" t="s">
        <v>26</v>
      </c>
      <c r="F10" t="s">
        <v>27</v>
      </c>
      <c r="G10">
        <v>9460.44</v>
      </c>
      <c r="H10" s="1">
        <v>6</v>
      </c>
    </row>
    <row r="11" spans="1:8" x14ac:dyDescent="0.35">
      <c r="A11" s="1">
        <v>2489</v>
      </c>
      <c r="B11" s="1">
        <v>101</v>
      </c>
      <c r="C11" t="s">
        <v>8</v>
      </c>
      <c r="D11" t="s">
        <v>9</v>
      </c>
      <c r="E11" t="s">
        <v>28</v>
      </c>
      <c r="F11" t="s">
        <v>29</v>
      </c>
      <c r="G11">
        <v>9425.2799999999988</v>
      </c>
      <c r="H11" s="1">
        <v>7</v>
      </c>
    </row>
    <row r="12" spans="1:8" x14ac:dyDescent="0.35">
      <c r="A12" s="1"/>
      <c r="B12" s="1"/>
      <c r="G12">
        <f>SUM(G2:G11)</f>
        <v>146309.03</v>
      </c>
      <c r="H12">
        <f>SUM(H2:H11)</f>
        <v>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H12" sqref="H12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6328125" bestFit="1" customWidth="1"/>
    <col min="4" max="4" width="9.81640625" bestFit="1" customWidth="1"/>
    <col min="5" max="5" width="9.7265625" bestFit="1" customWidth="1"/>
    <col min="6" max="6" width="10.81640625" bestFit="1" customWidth="1"/>
    <col min="7" max="7" width="10.1796875" bestFit="1" customWidth="1"/>
    <col min="8" max="8" width="12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2867</v>
      </c>
      <c r="B2" s="1">
        <v>100</v>
      </c>
      <c r="C2" t="s">
        <v>30</v>
      </c>
      <c r="D2" t="s">
        <v>9</v>
      </c>
      <c r="E2" t="s">
        <v>31</v>
      </c>
      <c r="F2" t="s">
        <v>32</v>
      </c>
      <c r="G2">
        <v>61298.98000000001</v>
      </c>
      <c r="H2" s="1">
        <v>10</v>
      </c>
    </row>
    <row r="3" spans="1:8" x14ac:dyDescent="0.35">
      <c r="A3" s="1">
        <v>667</v>
      </c>
      <c r="B3" s="1">
        <v>106</v>
      </c>
      <c r="C3" t="s">
        <v>30</v>
      </c>
      <c r="D3" t="s">
        <v>9</v>
      </c>
      <c r="E3" t="s">
        <v>33</v>
      </c>
      <c r="F3" t="s">
        <v>34</v>
      </c>
      <c r="G3">
        <v>31574.070000000003</v>
      </c>
      <c r="H3" s="1">
        <v>7</v>
      </c>
    </row>
    <row r="4" spans="1:8" x14ac:dyDescent="0.35">
      <c r="A4" s="1">
        <v>3074</v>
      </c>
      <c r="B4" s="1">
        <v>103</v>
      </c>
      <c r="C4" t="s">
        <v>30</v>
      </c>
      <c r="D4" t="s">
        <v>9</v>
      </c>
      <c r="E4" t="s">
        <v>35</v>
      </c>
      <c r="F4" t="s">
        <v>36</v>
      </c>
      <c r="G4">
        <v>26662.190000000002</v>
      </c>
      <c r="H4" s="1">
        <v>5</v>
      </c>
    </row>
    <row r="5" spans="1:8" x14ac:dyDescent="0.35">
      <c r="A5" s="1">
        <v>2108</v>
      </c>
      <c r="B5" s="1">
        <v>104</v>
      </c>
      <c r="C5" t="s">
        <v>30</v>
      </c>
      <c r="D5" t="s">
        <v>9</v>
      </c>
      <c r="E5" t="s">
        <v>37</v>
      </c>
      <c r="F5" t="s">
        <v>38</v>
      </c>
      <c r="G5">
        <v>20072.379999999997</v>
      </c>
      <c r="H5" s="1">
        <v>7</v>
      </c>
    </row>
    <row r="6" spans="1:8" x14ac:dyDescent="0.35">
      <c r="A6" s="1">
        <v>2859</v>
      </c>
      <c r="B6" s="1">
        <v>100</v>
      </c>
      <c r="C6" t="s">
        <v>30</v>
      </c>
      <c r="D6" t="s">
        <v>9</v>
      </c>
      <c r="E6" t="s">
        <v>39</v>
      </c>
      <c r="F6" t="s">
        <v>40</v>
      </c>
      <c r="G6">
        <v>19075.910000000003</v>
      </c>
      <c r="H6" s="1">
        <v>7</v>
      </c>
    </row>
    <row r="7" spans="1:8" x14ac:dyDescent="0.35">
      <c r="A7" s="1">
        <v>698</v>
      </c>
      <c r="B7" s="1">
        <v>109</v>
      </c>
      <c r="C7" t="s">
        <v>30</v>
      </c>
      <c r="D7" t="s">
        <v>9</v>
      </c>
      <c r="E7" t="s">
        <v>28</v>
      </c>
      <c r="F7" t="s">
        <v>41</v>
      </c>
      <c r="G7">
        <v>16510.38</v>
      </c>
      <c r="H7" s="1">
        <v>11</v>
      </c>
    </row>
    <row r="8" spans="1:8" x14ac:dyDescent="0.35">
      <c r="A8" s="1">
        <v>2785</v>
      </c>
      <c r="B8" s="1">
        <v>101</v>
      </c>
      <c r="C8" t="s">
        <v>30</v>
      </c>
      <c r="D8" t="s">
        <v>9</v>
      </c>
      <c r="E8" t="s">
        <v>42</v>
      </c>
      <c r="F8" t="s">
        <v>43</v>
      </c>
      <c r="G8">
        <v>16352.48</v>
      </c>
      <c r="H8" s="1">
        <v>6</v>
      </c>
    </row>
    <row r="9" spans="1:8" x14ac:dyDescent="0.35">
      <c r="A9" s="1">
        <v>983</v>
      </c>
      <c r="B9" s="1">
        <v>104</v>
      </c>
      <c r="C9" t="s">
        <v>30</v>
      </c>
      <c r="D9" t="s">
        <v>9</v>
      </c>
      <c r="E9" t="s">
        <v>44</v>
      </c>
      <c r="F9" t="s">
        <v>45</v>
      </c>
      <c r="G9">
        <v>15758.699999999999</v>
      </c>
      <c r="H9" s="1">
        <v>6</v>
      </c>
    </row>
    <row r="10" spans="1:8" x14ac:dyDescent="0.35">
      <c r="A10" s="1">
        <v>1212</v>
      </c>
      <c r="B10" s="1">
        <v>101</v>
      </c>
      <c r="C10" t="s">
        <v>30</v>
      </c>
      <c r="D10" t="s">
        <v>9</v>
      </c>
      <c r="E10" t="s">
        <v>20</v>
      </c>
      <c r="F10" t="s">
        <v>46</v>
      </c>
      <c r="G10">
        <v>14621.08</v>
      </c>
      <c r="H10" s="1">
        <v>4</v>
      </c>
    </row>
    <row r="11" spans="1:8" x14ac:dyDescent="0.35">
      <c r="A11" s="1">
        <v>1687</v>
      </c>
      <c r="B11" s="1">
        <v>101</v>
      </c>
      <c r="C11" t="s">
        <v>30</v>
      </c>
      <c r="D11" t="s">
        <v>9</v>
      </c>
      <c r="E11" t="s">
        <v>47</v>
      </c>
      <c r="F11" t="s">
        <v>48</v>
      </c>
      <c r="G11">
        <v>14620.789999999999</v>
      </c>
      <c r="H11" s="1">
        <v>6</v>
      </c>
    </row>
    <row r="12" spans="1:8" x14ac:dyDescent="0.35">
      <c r="A12" s="1"/>
      <c r="B12" s="1"/>
      <c r="G12">
        <f>SUM(G2:G11)</f>
        <v>236546.96000000005</v>
      </c>
      <c r="H12">
        <f>SUM(H2:H11)</f>
        <v>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H12" sqref="H12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6328125" bestFit="1" customWidth="1"/>
    <col min="4" max="4" width="9.81640625" bestFit="1" customWidth="1"/>
    <col min="5" max="5" width="9.7265625" bestFit="1" customWidth="1"/>
    <col min="6" max="6" width="11.6328125" bestFit="1" customWidth="1"/>
    <col min="7" max="7" width="10.1796875" bestFit="1" customWidth="1"/>
    <col min="8" max="8" width="12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2670</v>
      </c>
      <c r="B2" s="1">
        <v>103</v>
      </c>
      <c r="C2" t="s">
        <v>49</v>
      </c>
      <c r="D2" t="s">
        <v>9</v>
      </c>
      <c r="E2" t="s">
        <v>50</v>
      </c>
      <c r="F2" t="s">
        <v>51</v>
      </c>
      <c r="G2">
        <v>36325.040000000001</v>
      </c>
      <c r="H2" s="1">
        <v>10</v>
      </c>
    </row>
    <row r="3" spans="1:8" x14ac:dyDescent="0.35">
      <c r="A3" s="1">
        <v>883</v>
      </c>
      <c r="B3" s="1">
        <v>106</v>
      </c>
      <c r="C3" t="s">
        <v>49</v>
      </c>
      <c r="D3" t="s">
        <v>9</v>
      </c>
      <c r="E3" t="s">
        <v>52</v>
      </c>
      <c r="F3" t="s">
        <v>53</v>
      </c>
      <c r="G3">
        <v>18764.3</v>
      </c>
      <c r="H3" s="1">
        <v>5</v>
      </c>
    </row>
    <row r="4" spans="1:8" x14ac:dyDescent="0.35">
      <c r="A4" s="1">
        <v>3121</v>
      </c>
      <c r="B4" s="1">
        <v>100</v>
      </c>
      <c r="C4" t="s">
        <v>49</v>
      </c>
      <c r="D4" t="s">
        <v>9</v>
      </c>
      <c r="E4" t="s">
        <v>54</v>
      </c>
      <c r="F4" t="s">
        <v>55</v>
      </c>
      <c r="G4">
        <v>13242.47</v>
      </c>
      <c r="H4" s="1">
        <v>6</v>
      </c>
    </row>
    <row r="5" spans="1:8" x14ac:dyDescent="0.35">
      <c r="A5" s="1">
        <v>355</v>
      </c>
      <c r="B5" s="1">
        <v>109</v>
      </c>
      <c r="C5" t="s">
        <v>49</v>
      </c>
      <c r="D5" t="s">
        <v>9</v>
      </c>
      <c r="E5" t="s">
        <v>56</v>
      </c>
      <c r="F5" t="s">
        <v>57</v>
      </c>
      <c r="G5">
        <v>13016.75</v>
      </c>
      <c r="H5" s="1">
        <v>2</v>
      </c>
    </row>
    <row r="6" spans="1:8" x14ac:dyDescent="0.35">
      <c r="A6" s="1">
        <v>1246</v>
      </c>
      <c r="B6" s="1">
        <v>106</v>
      </c>
      <c r="C6" t="s">
        <v>49</v>
      </c>
      <c r="D6" t="s">
        <v>9</v>
      </c>
      <c r="E6" t="s">
        <v>58</v>
      </c>
      <c r="F6" t="s">
        <v>59</v>
      </c>
      <c r="G6">
        <v>12102.790000000003</v>
      </c>
      <c r="H6" s="1">
        <v>5</v>
      </c>
    </row>
    <row r="7" spans="1:8" x14ac:dyDescent="0.35">
      <c r="A7" s="1">
        <v>2342</v>
      </c>
      <c r="B7" s="1">
        <v>106</v>
      </c>
      <c r="C7" t="s">
        <v>49</v>
      </c>
      <c r="D7" t="s">
        <v>9</v>
      </c>
      <c r="E7" t="s">
        <v>60</v>
      </c>
      <c r="F7" t="s">
        <v>61</v>
      </c>
      <c r="G7">
        <v>12071.02</v>
      </c>
      <c r="H7" s="1">
        <v>8</v>
      </c>
    </row>
    <row r="8" spans="1:8" x14ac:dyDescent="0.35">
      <c r="A8" s="1">
        <v>2020</v>
      </c>
      <c r="B8" s="1">
        <v>102</v>
      </c>
      <c r="C8" t="s">
        <v>49</v>
      </c>
      <c r="D8" t="s">
        <v>9</v>
      </c>
      <c r="E8" t="s">
        <v>62</v>
      </c>
      <c r="F8" t="s">
        <v>63</v>
      </c>
      <c r="G8">
        <v>11925.7</v>
      </c>
      <c r="H8" s="1">
        <v>4</v>
      </c>
    </row>
    <row r="9" spans="1:8" x14ac:dyDescent="0.35">
      <c r="A9" s="1">
        <v>2141</v>
      </c>
      <c r="B9" s="1">
        <v>108</v>
      </c>
      <c r="C9" t="s">
        <v>49</v>
      </c>
      <c r="D9" t="s">
        <v>9</v>
      </c>
      <c r="E9" t="s">
        <v>64</v>
      </c>
      <c r="F9" t="s">
        <v>65</v>
      </c>
      <c r="G9">
        <v>11203.94</v>
      </c>
      <c r="H9" s="1">
        <v>8</v>
      </c>
    </row>
    <row r="10" spans="1:8" x14ac:dyDescent="0.35">
      <c r="A10" s="1">
        <v>1782</v>
      </c>
      <c r="B10" s="1">
        <v>100</v>
      </c>
      <c r="C10" t="s">
        <v>49</v>
      </c>
      <c r="D10" t="s">
        <v>9</v>
      </c>
      <c r="E10" t="s">
        <v>66</v>
      </c>
      <c r="F10" t="s">
        <v>67</v>
      </c>
      <c r="G10">
        <v>10597.04</v>
      </c>
      <c r="H10" s="1">
        <v>6</v>
      </c>
    </row>
    <row r="11" spans="1:8" x14ac:dyDescent="0.35">
      <c r="A11" s="1">
        <v>1793</v>
      </c>
      <c r="B11" s="1">
        <v>100</v>
      </c>
      <c r="C11" t="s">
        <v>49</v>
      </c>
      <c r="D11" t="s">
        <v>9</v>
      </c>
      <c r="E11" t="s">
        <v>68</v>
      </c>
      <c r="F11" t="s">
        <v>69</v>
      </c>
      <c r="G11">
        <v>10540.630000000001</v>
      </c>
      <c r="H11" s="1">
        <v>6</v>
      </c>
    </row>
    <row r="12" spans="1:8" x14ac:dyDescent="0.35">
      <c r="A12" s="1"/>
      <c r="B12" s="1"/>
      <c r="G12">
        <f>SUM(G2:G11)</f>
        <v>149789.68000000002</v>
      </c>
      <c r="H12">
        <f>SUM(H2:H11)</f>
        <v>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G2" sqref="G2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6328125" bestFit="1" customWidth="1"/>
    <col min="4" max="4" width="9.81640625" bestFit="1" customWidth="1"/>
    <col min="5" max="6" width="9.7265625" bestFit="1" customWidth="1"/>
    <col min="7" max="7" width="10.1796875" bestFit="1" customWidth="1"/>
    <col min="8" max="8" width="12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693</v>
      </c>
      <c r="B2" s="1">
        <v>101</v>
      </c>
      <c r="C2" t="s">
        <v>70</v>
      </c>
      <c r="D2" t="s">
        <v>9</v>
      </c>
      <c r="E2" t="s">
        <v>71</v>
      </c>
      <c r="F2" t="s">
        <v>72</v>
      </c>
      <c r="G2">
        <v>16355.430000000002</v>
      </c>
      <c r="H2" s="1">
        <v>10</v>
      </c>
    </row>
    <row r="3" spans="1:8" x14ac:dyDescent="0.35">
      <c r="A3" s="1">
        <v>2977</v>
      </c>
      <c r="B3" s="1">
        <v>106</v>
      </c>
      <c r="C3" t="s">
        <v>70</v>
      </c>
      <c r="D3" t="s">
        <v>9</v>
      </c>
      <c r="E3" t="s">
        <v>73</v>
      </c>
      <c r="F3" t="s">
        <v>74</v>
      </c>
      <c r="G3">
        <v>14896.12</v>
      </c>
      <c r="H3" s="1">
        <v>7</v>
      </c>
    </row>
    <row r="4" spans="1:8" x14ac:dyDescent="0.35">
      <c r="A4" s="1">
        <v>181</v>
      </c>
      <c r="B4" s="1">
        <v>109</v>
      </c>
      <c r="C4" t="s">
        <v>70</v>
      </c>
      <c r="D4" t="s">
        <v>9</v>
      </c>
      <c r="E4" t="s">
        <v>75</v>
      </c>
      <c r="F4" t="s">
        <v>76</v>
      </c>
      <c r="G4">
        <v>14021.559999999998</v>
      </c>
      <c r="H4" s="1">
        <v>8</v>
      </c>
    </row>
    <row r="5" spans="1:8" x14ac:dyDescent="0.35">
      <c r="A5" s="1">
        <v>540</v>
      </c>
      <c r="B5" s="1">
        <v>103</v>
      </c>
      <c r="C5" t="s">
        <v>70</v>
      </c>
      <c r="D5" t="s">
        <v>9</v>
      </c>
      <c r="E5" t="s">
        <v>77</v>
      </c>
      <c r="F5" t="s">
        <v>78</v>
      </c>
      <c r="G5">
        <v>10857.150000000001</v>
      </c>
      <c r="H5" s="1">
        <v>7</v>
      </c>
    </row>
    <row r="6" spans="1:8" x14ac:dyDescent="0.35">
      <c r="A6" s="1">
        <v>688</v>
      </c>
      <c r="B6" s="1">
        <v>106</v>
      </c>
      <c r="C6" t="s">
        <v>70</v>
      </c>
      <c r="D6" t="s">
        <v>9</v>
      </c>
      <c r="E6" t="s">
        <v>79</v>
      </c>
      <c r="F6" t="s">
        <v>80</v>
      </c>
      <c r="G6">
        <v>10696.839999999998</v>
      </c>
      <c r="H6" s="1">
        <v>7</v>
      </c>
    </row>
    <row r="7" spans="1:8" x14ac:dyDescent="0.35">
      <c r="A7" s="1">
        <v>1708</v>
      </c>
      <c r="B7" s="1">
        <v>106</v>
      </c>
      <c r="C7" t="s">
        <v>70</v>
      </c>
      <c r="D7" t="s">
        <v>9</v>
      </c>
      <c r="E7" t="s">
        <v>81</v>
      </c>
      <c r="F7" t="s">
        <v>82</v>
      </c>
      <c r="G7">
        <v>9847.6099999999988</v>
      </c>
      <c r="H7" s="1">
        <v>5</v>
      </c>
    </row>
    <row r="8" spans="1:8" x14ac:dyDescent="0.35">
      <c r="A8" s="1">
        <v>674</v>
      </c>
      <c r="B8" s="1">
        <v>103</v>
      </c>
      <c r="C8" t="s">
        <v>70</v>
      </c>
      <c r="D8" t="s">
        <v>9</v>
      </c>
      <c r="E8" t="s">
        <v>83</v>
      </c>
      <c r="F8" t="s">
        <v>84</v>
      </c>
      <c r="G8">
        <v>9787.6200000000008</v>
      </c>
      <c r="H8" s="1">
        <v>7</v>
      </c>
    </row>
    <row r="9" spans="1:8" x14ac:dyDescent="0.35">
      <c r="A9" s="1">
        <v>1503</v>
      </c>
      <c r="B9" s="1">
        <v>105</v>
      </c>
      <c r="C9" t="s">
        <v>70</v>
      </c>
      <c r="D9" t="s">
        <v>9</v>
      </c>
      <c r="E9" t="s">
        <v>85</v>
      </c>
      <c r="F9" t="s">
        <v>86</v>
      </c>
      <c r="G9">
        <v>9424.5500000000011</v>
      </c>
      <c r="H9" s="1">
        <v>5</v>
      </c>
    </row>
    <row r="10" spans="1:8" x14ac:dyDescent="0.35">
      <c r="A10" s="1">
        <v>1027</v>
      </c>
      <c r="B10" s="1">
        <v>103</v>
      </c>
      <c r="C10" t="s">
        <v>70</v>
      </c>
      <c r="D10" t="s">
        <v>9</v>
      </c>
      <c r="E10" t="s">
        <v>87</v>
      </c>
      <c r="F10" t="s">
        <v>88</v>
      </c>
      <c r="G10">
        <v>9270.869999999999</v>
      </c>
      <c r="H10" s="1">
        <v>3</v>
      </c>
    </row>
    <row r="11" spans="1:8" x14ac:dyDescent="0.35">
      <c r="A11" s="1">
        <v>1730</v>
      </c>
      <c r="B11" s="1">
        <v>100</v>
      </c>
      <c r="C11" t="s">
        <v>70</v>
      </c>
      <c r="D11" t="s">
        <v>9</v>
      </c>
      <c r="E11" t="s">
        <v>89</v>
      </c>
      <c r="F11" t="s">
        <v>90</v>
      </c>
      <c r="G11">
        <v>8788.369999999999</v>
      </c>
      <c r="H11" s="1">
        <v>7</v>
      </c>
    </row>
    <row r="12" spans="1:8" x14ac:dyDescent="0.35">
      <c r="A12" s="1"/>
      <c r="B12" s="1"/>
      <c r="G12">
        <f>SUM(G2:G11)</f>
        <v>113946.12</v>
      </c>
      <c r="H12">
        <f>SUM(H2:H11)</f>
        <v>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7DF3-433F-49B7-911C-BFF8B3BBB1A2}">
  <dimension ref="A1:J41"/>
  <sheetViews>
    <sheetView workbookViewId="0">
      <selection activeCell="G2" sqref="G2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6.6328125" bestFit="1" customWidth="1"/>
    <col min="4" max="4" width="9.81640625" bestFit="1" customWidth="1"/>
    <col min="5" max="5" width="9.7265625" bestFit="1" customWidth="1"/>
    <col min="6" max="6" width="11.6328125" bestFit="1" customWidth="1"/>
    <col min="7" max="7" width="10.1796875" bestFit="1" customWidth="1"/>
    <col min="8" max="8" width="12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5">
      <c r="A2" s="1">
        <v>2882</v>
      </c>
      <c r="B2" s="1">
        <v>107</v>
      </c>
      <c r="C2" t="s">
        <v>8</v>
      </c>
      <c r="D2" t="s">
        <v>9</v>
      </c>
      <c r="E2" t="s">
        <v>10</v>
      </c>
      <c r="F2" t="s">
        <v>11</v>
      </c>
      <c r="G2">
        <v>33908.180000000008</v>
      </c>
      <c r="H2" s="1">
        <v>21</v>
      </c>
      <c r="J2" t="str" cm="1">
        <f t="array" ref="J2:J5">_xlfn.UNIQUE(C2:C41)</f>
        <v>Consumer</v>
      </c>
    </row>
    <row r="3" spans="1:10" x14ac:dyDescent="0.35">
      <c r="A3" s="1">
        <v>2645</v>
      </c>
      <c r="B3" s="1">
        <v>109</v>
      </c>
      <c r="C3" t="s">
        <v>8</v>
      </c>
      <c r="D3" t="s">
        <v>9</v>
      </c>
      <c r="E3" t="s">
        <v>12</v>
      </c>
      <c r="F3" t="s">
        <v>13</v>
      </c>
      <c r="G3">
        <v>20268.539999999997</v>
      </c>
      <c r="H3" s="1">
        <v>10</v>
      </c>
      <c r="J3" t="str">
        <v>Corporate</v>
      </c>
    </row>
    <row r="4" spans="1:10" x14ac:dyDescent="0.35">
      <c r="A4" s="1">
        <v>84</v>
      </c>
      <c r="B4" s="1">
        <v>105</v>
      </c>
      <c r="C4" t="s">
        <v>8</v>
      </c>
      <c r="D4" t="s">
        <v>9</v>
      </c>
      <c r="E4" t="s">
        <v>14</v>
      </c>
      <c r="F4" t="s">
        <v>15</v>
      </c>
      <c r="G4">
        <v>16700.95</v>
      </c>
      <c r="H4" s="1">
        <v>7</v>
      </c>
      <c r="J4" t="str">
        <v>Home Office</v>
      </c>
    </row>
    <row r="5" spans="1:10" x14ac:dyDescent="0.35">
      <c r="A5" s="1">
        <v>2781</v>
      </c>
      <c r="B5" s="1">
        <v>108</v>
      </c>
      <c r="C5" t="s">
        <v>8</v>
      </c>
      <c r="D5" t="s">
        <v>9</v>
      </c>
      <c r="E5" t="s">
        <v>16</v>
      </c>
      <c r="F5" t="s">
        <v>17</v>
      </c>
      <c r="G5">
        <v>12762.609999999999</v>
      </c>
      <c r="H5" s="1">
        <v>7</v>
      </c>
      <c r="J5" t="str">
        <v>Small Business</v>
      </c>
    </row>
    <row r="6" spans="1:10" x14ac:dyDescent="0.35">
      <c r="A6" s="1">
        <v>2730</v>
      </c>
      <c r="B6" s="1">
        <v>101</v>
      </c>
      <c r="C6" t="s">
        <v>8</v>
      </c>
      <c r="D6" t="s">
        <v>9</v>
      </c>
      <c r="E6" t="s">
        <v>18</v>
      </c>
      <c r="F6" t="s">
        <v>19</v>
      </c>
      <c r="G6">
        <v>11994.19</v>
      </c>
      <c r="H6" s="1">
        <v>5</v>
      </c>
    </row>
    <row r="7" spans="1:10" x14ac:dyDescent="0.35">
      <c r="A7" s="1">
        <v>1463</v>
      </c>
      <c r="B7" s="1">
        <v>102</v>
      </c>
      <c r="C7" t="s">
        <v>8</v>
      </c>
      <c r="D7" t="s">
        <v>9</v>
      </c>
      <c r="E7" t="s">
        <v>20</v>
      </c>
      <c r="F7" t="s">
        <v>21</v>
      </c>
      <c r="G7">
        <v>11765.400000000001</v>
      </c>
      <c r="H7" s="1">
        <v>7</v>
      </c>
    </row>
    <row r="8" spans="1:10" x14ac:dyDescent="0.35">
      <c r="A8" s="1">
        <v>2825</v>
      </c>
      <c r="B8" s="1">
        <v>104</v>
      </c>
      <c r="C8" t="s">
        <v>8</v>
      </c>
      <c r="D8" t="s">
        <v>9</v>
      </c>
      <c r="E8" t="s">
        <v>22</v>
      </c>
      <c r="F8" t="s">
        <v>23</v>
      </c>
      <c r="G8">
        <v>10228.900000000001</v>
      </c>
      <c r="H8" s="1">
        <v>9</v>
      </c>
    </row>
    <row r="9" spans="1:10" x14ac:dyDescent="0.35">
      <c r="A9" s="1">
        <v>305</v>
      </c>
      <c r="B9" s="1">
        <v>101</v>
      </c>
      <c r="C9" t="s">
        <v>8</v>
      </c>
      <c r="D9" t="s">
        <v>9</v>
      </c>
      <c r="E9" t="s">
        <v>24</v>
      </c>
      <c r="F9" t="s">
        <v>25</v>
      </c>
      <c r="G9">
        <v>9794.5400000000009</v>
      </c>
      <c r="H9" s="1">
        <v>6</v>
      </c>
    </row>
    <row r="10" spans="1:10" x14ac:dyDescent="0.35">
      <c r="A10" s="1">
        <v>471</v>
      </c>
      <c r="B10" s="1">
        <v>105</v>
      </c>
      <c r="C10" t="s">
        <v>8</v>
      </c>
      <c r="D10" t="s">
        <v>9</v>
      </c>
      <c r="E10" t="s">
        <v>26</v>
      </c>
      <c r="F10" t="s">
        <v>27</v>
      </c>
      <c r="G10">
        <v>9460.44</v>
      </c>
      <c r="H10" s="1">
        <v>6</v>
      </c>
    </row>
    <row r="11" spans="1:10" x14ac:dyDescent="0.35">
      <c r="A11" s="1">
        <v>2489</v>
      </c>
      <c r="B11" s="1">
        <v>101</v>
      </c>
      <c r="C11" t="s">
        <v>8</v>
      </c>
      <c r="D11" t="s">
        <v>9</v>
      </c>
      <c r="E11" t="s">
        <v>28</v>
      </c>
      <c r="F11" t="s">
        <v>29</v>
      </c>
      <c r="G11">
        <v>9425.2799999999988</v>
      </c>
      <c r="H11" s="1">
        <v>7</v>
      </c>
    </row>
    <row r="12" spans="1:10" x14ac:dyDescent="0.35">
      <c r="A12" s="1">
        <v>2867</v>
      </c>
      <c r="B12" s="1">
        <v>100</v>
      </c>
      <c r="C12" t="s">
        <v>30</v>
      </c>
      <c r="D12" t="s">
        <v>9</v>
      </c>
      <c r="E12" t="s">
        <v>31</v>
      </c>
      <c r="F12" t="s">
        <v>32</v>
      </c>
      <c r="G12">
        <v>61298.98000000001</v>
      </c>
      <c r="H12" s="1">
        <v>10</v>
      </c>
    </row>
    <row r="13" spans="1:10" x14ac:dyDescent="0.35">
      <c r="A13" s="1">
        <v>667</v>
      </c>
      <c r="B13" s="1">
        <v>106</v>
      </c>
      <c r="C13" t="s">
        <v>30</v>
      </c>
      <c r="D13" t="s">
        <v>9</v>
      </c>
      <c r="E13" t="s">
        <v>33</v>
      </c>
      <c r="F13" t="s">
        <v>34</v>
      </c>
      <c r="G13">
        <v>31574.070000000003</v>
      </c>
      <c r="H13" s="1">
        <v>7</v>
      </c>
    </row>
    <row r="14" spans="1:10" x14ac:dyDescent="0.35">
      <c r="A14" s="1">
        <v>3074</v>
      </c>
      <c r="B14" s="1">
        <v>103</v>
      </c>
      <c r="C14" t="s">
        <v>30</v>
      </c>
      <c r="D14" t="s">
        <v>9</v>
      </c>
      <c r="E14" t="s">
        <v>35</v>
      </c>
      <c r="F14" t="s">
        <v>36</v>
      </c>
      <c r="G14">
        <v>26662.190000000002</v>
      </c>
      <c r="H14" s="1">
        <v>5</v>
      </c>
    </row>
    <row r="15" spans="1:10" x14ac:dyDescent="0.35">
      <c r="A15" s="1">
        <v>2108</v>
      </c>
      <c r="B15" s="1">
        <v>104</v>
      </c>
      <c r="C15" t="s">
        <v>30</v>
      </c>
      <c r="D15" t="s">
        <v>9</v>
      </c>
      <c r="E15" t="s">
        <v>37</v>
      </c>
      <c r="F15" t="s">
        <v>38</v>
      </c>
      <c r="G15">
        <v>20072.379999999997</v>
      </c>
      <c r="H15" s="1">
        <v>7</v>
      </c>
    </row>
    <row r="16" spans="1:10" x14ac:dyDescent="0.35">
      <c r="A16" s="1">
        <v>2859</v>
      </c>
      <c r="B16" s="1">
        <v>100</v>
      </c>
      <c r="C16" t="s">
        <v>30</v>
      </c>
      <c r="D16" t="s">
        <v>9</v>
      </c>
      <c r="E16" t="s">
        <v>39</v>
      </c>
      <c r="F16" t="s">
        <v>40</v>
      </c>
      <c r="G16">
        <v>19075.910000000003</v>
      </c>
      <c r="H16" s="1">
        <v>7</v>
      </c>
    </row>
    <row r="17" spans="1:8" x14ac:dyDescent="0.35">
      <c r="A17" s="1">
        <v>698</v>
      </c>
      <c r="B17" s="1">
        <v>109</v>
      </c>
      <c r="C17" t="s">
        <v>30</v>
      </c>
      <c r="D17" t="s">
        <v>9</v>
      </c>
      <c r="E17" t="s">
        <v>28</v>
      </c>
      <c r="F17" t="s">
        <v>41</v>
      </c>
      <c r="G17">
        <v>16510.38</v>
      </c>
      <c r="H17" s="1">
        <v>11</v>
      </c>
    </row>
    <row r="18" spans="1:8" x14ac:dyDescent="0.35">
      <c r="A18" s="1">
        <v>2785</v>
      </c>
      <c r="B18" s="1">
        <v>101</v>
      </c>
      <c r="C18" t="s">
        <v>30</v>
      </c>
      <c r="D18" t="s">
        <v>9</v>
      </c>
      <c r="E18" t="s">
        <v>42</v>
      </c>
      <c r="F18" t="s">
        <v>43</v>
      </c>
      <c r="G18">
        <v>16352.48</v>
      </c>
      <c r="H18" s="1">
        <v>6</v>
      </c>
    </row>
    <row r="19" spans="1:8" x14ac:dyDescent="0.35">
      <c r="A19" s="1">
        <v>983</v>
      </c>
      <c r="B19" s="1">
        <v>104</v>
      </c>
      <c r="C19" t="s">
        <v>30</v>
      </c>
      <c r="D19" t="s">
        <v>9</v>
      </c>
      <c r="E19" t="s">
        <v>44</v>
      </c>
      <c r="F19" t="s">
        <v>45</v>
      </c>
      <c r="G19">
        <v>15758.699999999999</v>
      </c>
      <c r="H19" s="1">
        <v>6</v>
      </c>
    </row>
    <row r="20" spans="1:8" x14ac:dyDescent="0.35">
      <c r="A20" s="1">
        <v>1212</v>
      </c>
      <c r="B20" s="1">
        <v>101</v>
      </c>
      <c r="C20" t="s">
        <v>30</v>
      </c>
      <c r="D20" t="s">
        <v>9</v>
      </c>
      <c r="E20" t="s">
        <v>20</v>
      </c>
      <c r="F20" t="s">
        <v>46</v>
      </c>
      <c r="G20">
        <v>14621.08</v>
      </c>
      <c r="H20" s="1">
        <v>4</v>
      </c>
    </row>
    <row r="21" spans="1:8" x14ac:dyDescent="0.35">
      <c r="A21" s="1">
        <v>1687</v>
      </c>
      <c r="B21" s="1">
        <v>101</v>
      </c>
      <c r="C21" t="s">
        <v>30</v>
      </c>
      <c r="D21" t="s">
        <v>9</v>
      </c>
      <c r="E21" t="s">
        <v>47</v>
      </c>
      <c r="F21" t="s">
        <v>48</v>
      </c>
      <c r="G21">
        <v>14620.789999999999</v>
      </c>
      <c r="H21" s="1">
        <v>6</v>
      </c>
    </row>
    <row r="22" spans="1:8" x14ac:dyDescent="0.35">
      <c r="A22" s="1">
        <v>2670</v>
      </c>
      <c r="B22" s="1">
        <v>103</v>
      </c>
      <c r="C22" t="s">
        <v>49</v>
      </c>
      <c r="D22" t="s">
        <v>9</v>
      </c>
      <c r="E22" t="s">
        <v>50</v>
      </c>
      <c r="F22" t="s">
        <v>51</v>
      </c>
      <c r="G22">
        <v>36325.040000000001</v>
      </c>
      <c r="H22" s="1">
        <v>10</v>
      </c>
    </row>
    <row r="23" spans="1:8" x14ac:dyDescent="0.35">
      <c r="A23" s="1">
        <v>883</v>
      </c>
      <c r="B23" s="1">
        <v>106</v>
      </c>
      <c r="C23" t="s">
        <v>49</v>
      </c>
      <c r="D23" t="s">
        <v>9</v>
      </c>
      <c r="E23" t="s">
        <v>52</v>
      </c>
      <c r="F23" t="s">
        <v>53</v>
      </c>
      <c r="G23">
        <v>18764.3</v>
      </c>
      <c r="H23" s="1">
        <v>5</v>
      </c>
    </row>
    <row r="24" spans="1:8" x14ac:dyDescent="0.35">
      <c r="A24" s="1">
        <v>3121</v>
      </c>
      <c r="B24" s="1">
        <v>100</v>
      </c>
      <c r="C24" t="s">
        <v>49</v>
      </c>
      <c r="D24" t="s">
        <v>9</v>
      </c>
      <c r="E24" t="s">
        <v>54</v>
      </c>
      <c r="F24" t="s">
        <v>55</v>
      </c>
      <c r="G24">
        <v>13242.47</v>
      </c>
      <c r="H24" s="1">
        <v>6</v>
      </c>
    </row>
    <row r="25" spans="1:8" x14ac:dyDescent="0.35">
      <c r="A25" s="1">
        <v>355</v>
      </c>
      <c r="B25" s="1">
        <v>109</v>
      </c>
      <c r="C25" t="s">
        <v>49</v>
      </c>
      <c r="D25" t="s">
        <v>9</v>
      </c>
      <c r="E25" t="s">
        <v>56</v>
      </c>
      <c r="F25" t="s">
        <v>57</v>
      </c>
      <c r="G25">
        <v>13016.75</v>
      </c>
      <c r="H25" s="1">
        <v>2</v>
      </c>
    </row>
    <row r="26" spans="1:8" x14ac:dyDescent="0.35">
      <c r="A26" s="1">
        <v>1246</v>
      </c>
      <c r="B26" s="1">
        <v>106</v>
      </c>
      <c r="C26" t="s">
        <v>49</v>
      </c>
      <c r="D26" t="s">
        <v>9</v>
      </c>
      <c r="E26" t="s">
        <v>58</v>
      </c>
      <c r="F26" t="s">
        <v>59</v>
      </c>
      <c r="G26">
        <v>12102.790000000003</v>
      </c>
      <c r="H26" s="1">
        <v>5</v>
      </c>
    </row>
    <row r="27" spans="1:8" x14ac:dyDescent="0.35">
      <c r="A27" s="1">
        <v>2342</v>
      </c>
      <c r="B27" s="1">
        <v>106</v>
      </c>
      <c r="C27" t="s">
        <v>49</v>
      </c>
      <c r="D27" t="s">
        <v>9</v>
      </c>
      <c r="E27" t="s">
        <v>60</v>
      </c>
      <c r="F27" t="s">
        <v>61</v>
      </c>
      <c r="G27">
        <v>12071.02</v>
      </c>
      <c r="H27" s="1">
        <v>8</v>
      </c>
    </row>
    <row r="28" spans="1:8" x14ac:dyDescent="0.35">
      <c r="A28" s="1">
        <v>2020</v>
      </c>
      <c r="B28" s="1">
        <v>102</v>
      </c>
      <c r="C28" t="s">
        <v>49</v>
      </c>
      <c r="D28" t="s">
        <v>9</v>
      </c>
      <c r="E28" t="s">
        <v>62</v>
      </c>
      <c r="F28" t="s">
        <v>63</v>
      </c>
      <c r="G28">
        <v>11925.7</v>
      </c>
      <c r="H28" s="1">
        <v>4</v>
      </c>
    </row>
    <row r="29" spans="1:8" x14ac:dyDescent="0.35">
      <c r="A29" s="1">
        <v>2141</v>
      </c>
      <c r="B29" s="1">
        <v>108</v>
      </c>
      <c r="C29" t="s">
        <v>49</v>
      </c>
      <c r="D29" t="s">
        <v>9</v>
      </c>
      <c r="E29" t="s">
        <v>64</v>
      </c>
      <c r="F29" t="s">
        <v>65</v>
      </c>
      <c r="G29">
        <v>11203.94</v>
      </c>
      <c r="H29" s="1">
        <v>8</v>
      </c>
    </row>
    <row r="30" spans="1:8" x14ac:dyDescent="0.35">
      <c r="A30" s="1">
        <v>1782</v>
      </c>
      <c r="B30" s="1">
        <v>100</v>
      </c>
      <c r="C30" t="s">
        <v>49</v>
      </c>
      <c r="D30" t="s">
        <v>9</v>
      </c>
      <c r="E30" t="s">
        <v>66</v>
      </c>
      <c r="F30" t="s">
        <v>67</v>
      </c>
      <c r="G30">
        <v>10597.04</v>
      </c>
      <c r="H30" s="1">
        <v>6</v>
      </c>
    </row>
    <row r="31" spans="1:8" x14ac:dyDescent="0.35">
      <c r="A31" s="1">
        <v>1793</v>
      </c>
      <c r="B31" s="1">
        <v>100</v>
      </c>
      <c r="C31" t="s">
        <v>49</v>
      </c>
      <c r="D31" t="s">
        <v>9</v>
      </c>
      <c r="E31" t="s">
        <v>68</v>
      </c>
      <c r="F31" t="s">
        <v>69</v>
      </c>
      <c r="G31">
        <v>10540.630000000001</v>
      </c>
      <c r="H31" s="1">
        <v>6</v>
      </c>
    </row>
    <row r="32" spans="1:8" x14ac:dyDescent="0.35">
      <c r="A32" s="1">
        <v>693</v>
      </c>
      <c r="B32" s="1">
        <v>101</v>
      </c>
      <c r="C32" t="s">
        <v>70</v>
      </c>
      <c r="D32" t="s">
        <v>9</v>
      </c>
      <c r="E32" t="s">
        <v>71</v>
      </c>
      <c r="F32" t="s">
        <v>72</v>
      </c>
      <c r="G32">
        <v>16355.430000000002</v>
      </c>
      <c r="H32" s="1">
        <v>10</v>
      </c>
    </row>
    <row r="33" spans="1:8" x14ac:dyDescent="0.35">
      <c r="A33" s="1">
        <v>2977</v>
      </c>
      <c r="B33" s="1">
        <v>106</v>
      </c>
      <c r="C33" t="s">
        <v>70</v>
      </c>
      <c r="D33" t="s">
        <v>9</v>
      </c>
      <c r="E33" t="s">
        <v>73</v>
      </c>
      <c r="F33" t="s">
        <v>74</v>
      </c>
      <c r="G33">
        <v>14896.12</v>
      </c>
      <c r="H33" s="1">
        <v>7</v>
      </c>
    </row>
    <row r="34" spans="1:8" x14ac:dyDescent="0.35">
      <c r="A34" s="1">
        <v>181</v>
      </c>
      <c r="B34" s="1">
        <v>109</v>
      </c>
      <c r="C34" t="s">
        <v>70</v>
      </c>
      <c r="D34" t="s">
        <v>9</v>
      </c>
      <c r="E34" t="s">
        <v>75</v>
      </c>
      <c r="F34" t="s">
        <v>76</v>
      </c>
      <c r="G34">
        <v>14021.559999999998</v>
      </c>
      <c r="H34" s="1">
        <v>8</v>
      </c>
    </row>
    <row r="35" spans="1:8" x14ac:dyDescent="0.35">
      <c r="A35" s="1">
        <v>540</v>
      </c>
      <c r="B35" s="1">
        <v>103</v>
      </c>
      <c r="C35" t="s">
        <v>70</v>
      </c>
      <c r="D35" t="s">
        <v>9</v>
      </c>
      <c r="E35" t="s">
        <v>77</v>
      </c>
      <c r="F35" t="s">
        <v>78</v>
      </c>
      <c r="G35">
        <v>10857.150000000001</v>
      </c>
      <c r="H35" s="1">
        <v>7</v>
      </c>
    </row>
    <row r="36" spans="1:8" x14ac:dyDescent="0.35">
      <c r="A36" s="1">
        <v>688</v>
      </c>
      <c r="B36" s="1">
        <v>106</v>
      </c>
      <c r="C36" t="s">
        <v>70</v>
      </c>
      <c r="D36" t="s">
        <v>9</v>
      </c>
      <c r="E36" t="s">
        <v>79</v>
      </c>
      <c r="F36" t="s">
        <v>80</v>
      </c>
      <c r="G36">
        <v>10696.839999999998</v>
      </c>
      <c r="H36" s="1">
        <v>7</v>
      </c>
    </row>
    <row r="37" spans="1:8" x14ac:dyDescent="0.35">
      <c r="A37" s="1">
        <v>1708</v>
      </c>
      <c r="B37" s="1">
        <v>106</v>
      </c>
      <c r="C37" t="s">
        <v>70</v>
      </c>
      <c r="D37" t="s">
        <v>9</v>
      </c>
      <c r="E37" t="s">
        <v>81</v>
      </c>
      <c r="F37" t="s">
        <v>82</v>
      </c>
      <c r="G37">
        <v>9847.6099999999988</v>
      </c>
      <c r="H37" s="1">
        <v>5</v>
      </c>
    </row>
    <row r="38" spans="1:8" x14ac:dyDescent="0.35">
      <c r="A38" s="1">
        <v>674</v>
      </c>
      <c r="B38" s="1">
        <v>103</v>
      </c>
      <c r="C38" t="s">
        <v>70</v>
      </c>
      <c r="D38" t="s">
        <v>9</v>
      </c>
      <c r="E38" t="s">
        <v>83</v>
      </c>
      <c r="F38" t="s">
        <v>84</v>
      </c>
      <c r="G38">
        <v>9787.6200000000008</v>
      </c>
      <c r="H38" s="1">
        <v>7</v>
      </c>
    </row>
    <row r="39" spans="1:8" x14ac:dyDescent="0.35">
      <c r="A39" s="1">
        <v>1503</v>
      </c>
      <c r="B39" s="1">
        <v>105</v>
      </c>
      <c r="C39" t="s">
        <v>70</v>
      </c>
      <c r="D39" t="s">
        <v>9</v>
      </c>
      <c r="E39" t="s">
        <v>85</v>
      </c>
      <c r="F39" t="s">
        <v>86</v>
      </c>
      <c r="G39">
        <v>9424.5500000000011</v>
      </c>
      <c r="H39" s="1">
        <v>5</v>
      </c>
    </row>
    <row r="40" spans="1:8" x14ac:dyDescent="0.35">
      <c r="A40" s="1">
        <v>1027</v>
      </c>
      <c r="B40" s="1">
        <v>103</v>
      </c>
      <c r="C40" t="s">
        <v>70</v>
      </c>
      <c r="D40" t="s">
        <v>9</v>
      </c>
      <c r="E40" t="s">
        <v>87</v>
      </c>
      <c r="F40" t="s">
        <v>88</v>
      </c>
      <c r="G40">
        <v>9270.869999999999</v>
      </c>
      <c r="H40" s="1">
        <v>3</v>
      </c>
    </row>
    <row r="41" spans="1:8" x14ac:dyDescent="0.35">
      <c r="A41" s="1">
        <v>1730</v>
      </c>
      <c r="B41" s="1">
        <v>100</v>
      </c>
      <c r="C41" t="s">
        <v>70</v>
      </c>
      <c r="D41" t="s">
        <v>9</v>
      </c>
      <c r="E41" t="s">
        <v>89</v>
      </c>
      <c r="F41" t="s">
        <v>90</v>
      </c>
      <c r="G41">
        <v>8788.369999999999</v>
      </c>
      <c r="H4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Consumer</vt:lpstr>
      <vt:lpstr>Corporate</vt:lpstr>
      <vt:lpstr>Home Office</vt:lpstr>
      <vt:lpstr>Small Business</vt:lpstr>
      <vt:lpstr>Compiled_Top10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Bhavya Sinha</cp:lastModifiedBy>
  <cp:lastPrinted>2025-12-26T22:12:44Z</cp:lastPrinted>
  <dcterms:created xsi:type="dcterms:W3CDTF">2025-12-26T12:39:21Z</dcterms:created>
  <dcterms:modified xsi:type="dcterms:W3CDTF">2025-12-26T22:39:20Z</dcterms:modified>
</cp:coreProperties>
</file>